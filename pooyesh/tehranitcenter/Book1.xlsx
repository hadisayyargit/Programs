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zarakhsh2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9" i="1" l="1"/>
  <c r="L12" i="1"/>
  <c r="I12" i="1" l="1"/>
  <c r="I8" i="1"/>
  <c r="I10" i="1"/>
</calcChain>
</file>

<file path=xl/sharedStrings.xml><?xml version="1.0" encoding="utf-8"?>
<sst xmlns="http://schemas.openxmlformats.org/spreadsheetml/2006/main" count="19" uniqueCount="14">
  <si>
    <t>قیمت هر متر مربع :</t>
  </si>
  <si>
    <t>متراژ:</t>
  </si>
  <si>
    <t>قیمت کل :</t>
  </si>
  <si>
    <t>پیش پرداخت :(35%)</t>
  </si>
  <si>
    <t>تحویل کلید   :(5%)</t>
  </si>
  <si>
    <t>تنظیم سند    :(10%)</t>
  </si>
  <si>
    <t>مبلغ اقساط   :</t>
  </si>
  <si>
    <t>تعداد اقساط  :</t>
  </si>
  <si>
    <t>ریال</t>
  </si>
  <si>
    <t>ماه</t>
  </si>
  <si>
    <t>رژیم پرداختی</t>
  </si>
  <si>
    <t>قیمت واحد</t>
  </si>
  <si>
    <t>نحوه پرداخت</t>
  </si>
  <si>
    <t>طبقه 8 واحد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</si>
</sst>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right" readingOrder="2"/>
    </xf>
    <xf numFmtId="3" fontId="0" fillId="0" borderId="0" xfId="0" applyNumberFormat="1" applyBorder="1"/>
    <xf numFmtId="0" fontId="1" fillId="2" borderId="0" xfId="0" applyFont="1" applyFill="1" applyBorder="1" applyAlignment="1">
      <alignment horizontal="right"/>
    </xf>
    <xf numFmtId="4" fontId="0" fillId="0" borderId="0" xfId="0" applyNumberFormat="1" applyBorder="1" applyAlignment="1">
      <alignment horizontal="right" readingOrder="2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L13"/>
  <sheetViews>
    <sheetView rightToLeft="1" tabSelected="1" topLeftCell="E1" zoomScale="200" zoomScaleNormal="200" workbookViewId="0">
      <selection activeCell="F13" sqref="F13"/>
    </sheetView>
  </sheetViews>
  <sheetFormatPr defaultRowHeight="14.25" x14ac:dyDescent="0.2"/>
  <cols>
    <col min="7" max="7" width="13.5" customWidth="1"/>
    <col min="8" max="8" width="4.25" customWidth="1"/>
    <col min="9" max="9" width="13.375" style="1" customWidth="1"/>
    <col min="11" max="11" width="4.375" customWidth="1"/>
    <col min="12" max="12" width="18.625" customWidth="1"/>
  </cols>
  <sheetData>
    <row r="2" spans="6:12" x14ac:dyDescent="0.2">
      <c r="F2" s="2"/>
      <c r="G2" s="5" t="s">
        <v>10</v>
      </c>
      <c r="H2" s="5"/>
      <c r="I2" s="5"/>
      <c r="J2" s="5"/>
      <c r="K2" s="2"/>
    </row>
    <row r="3" spans="6:12" x14ac:dyDescent="0.2">
      <c r="F3" s="2"/>
      <c r="G3" s="3" t="s">
        <v>13</v>
      </c>
      <c r="H3" s="4" t="s">
        <v>1</v>
      </c>
      <c r="I3" s="9">
        <v>150</v>
      </c>
      <c r="J3" s="9"/>
      <c r="K3" s="2"/>
    </row>
    <row r="4" spans="6:12" x14ac:dyDescent="0.2">
      <c r="F4" s="2"/>
      <c r="G4" s="5" t="s">
        <v>11</v>
      </c>
      <c r="H4" s="5"/>
      <c r="I4" s="5"/>
      <c r="J4" s="5"/>
      <c r="K4" s="2"/>
    </row>
    <row r="5" spans="6:12" x14ac:dyDescent="0.2">
      <c r="F5" s="2"/>
      <c r="G5" s="8" t="s">
        <v>0</v>
      </c>
      <c r="H5" s="8"/>
      <c r="I5" s="6">
        <v>182300000</v>
      </c>
      <c r="J5" s="2" t="s">
        <v>8</v>
      </c>
      <c r="K5" s="2"/>
    </row>
    <row r="6" spans="6:12" x14ac:dyDescent="0.2">
      <c r="F6" s="2"/>
      <c r="G6" s="8" t="s">
        <v>2</v>
      </c>
      <c r="H6" s="8"/>
      <c r="I6" s="6">
        <f>I5*I3</f>
        <v>27345000000</v>
      </c>
      <c r="J6" s="2" t="s">
        <v>8</v>
      </c>
      <c r="K6" s="2"/>
    </row>
    <row r="7" spans="6:12" x14ac:dyDescent="0.2">
      <c r="F7" s="2"/>
      <c r="G7" s="10" t="s">
        <v>12</v>
      </c>
      <c r="H7" s="11"/>
      <c r="I7" s="11"/>
      <c r="J7" s="11"/>
      <c r="K7" s="2"/>
    </row>
    <row r="8" spans="6:12" x14ac:dyDescent="0.2">
      <c r="F8" s="2"/>
      <c r="G8" s="8" t="s">
        <v>3</v>
      </c>
      <c r="H8" s="8"/>
      <c r="I8" s="6">
        <f>I6*35/100</f>
        <v>9570750000</v>
      </c>
      <c r="J8" s="2" t="s">
        <v>8</v>
      </c>
      <c r="K8" s="2"/>
    </row>
    <row r="9" spans="6:12" x14ac:dyDescent="0.2">
      <c r="F9" s="2"/>
      <c r="G9" s="8" t="s">
        <v>4</v>
      </c>
      <c r="H9" s="8"/>
      <c r="I9" s="6">
        <f>I6*5/100</f>
        <v>1367250000</v>
      </c>
      <c r="J9" s="2" t="s">
        <v>8</v>
      </c>
      <c r="K9" s="2"/>
    </row>
    <row r="10" spans="6:12" x14ac:dyDescent="0.2">
      <c r="F10" s="2"/>
      <c r="G10" s="8" t="s">
        <v>5</v>
      </c>
      <c r="H10" s="8"/>
      <c r="I10" s="6">
        <f>I6*10/100</f>
        <v>2734500000</v>
      </c>
      <c r="J10" s="2" t="s">
        <v>8</v>
      </c>
      <c r="K10" s="2"/>
    </row>
    <row r="11" spans="6:12" x14ac:dyDescent="0.2">
      <c r="F11" s="2"/>
      <c r="G11" s="8" t="s">
        <v>7</v>
      </c>
      <c r="H11" s="8"/>
      <c r="I11" s="6">
        <v>36</v>
      </c>
      <c r="J11" s="2" t="s">
        <v>9</v>
      </c>
      <c r="K11" s="2"/>
    </row>
    <row r="12" spans="6:12" x14ac:dyDescent="0.2">
      <c r="F12" s="2"/>
      <c r="G12" s="8" t="s">
        <v>6</v>
      </c>
      <c r="H12" s="8"/>
      <c r="I12" s="6">
        <f>I6*50/100/36</f>
        <v>379791666.66666669</v>
      </c>
      <c r="J12" s="2" t="s">
        <v>8</v>
      </c>
      <c r="K12" s="2"/>
      <c r="L12">
        <f>L6*50/100/36</f>
        <v>0</v>
      </c>
    </row>
    <row r="13" spans="6:12" x14ac:dyDescent="0.2">
      <c r="F13" s="2"/>
      <c r="G13" s="2"/>
      <c r="H13" s="2"/>
      <c r="I13" s="7"/>
      <c r="J13" s="2"/>
      <c r="K13" s="2"/>
    </row>
  </sheetData>
  <mergeCells count="11">
    <mergeCell ref="G9:H9"/>
    <mergeCell ref="G10:H10"/>
    <mergeCell ref="G11:H11"/>
    <mergeCell ref="G12:H12"/>
    <mergeCell ref="G2:J2"/>
    <mergeCell ref="G7:J7"/>
    <mergeCell ref="G4:J4"/>
    <mergeCell ref="I3:J3"/>
    <mergeCell ref="G5:H5"/>
    <mergeCell ref="G6:H6"/>
    <mergeCell ref="G8:H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Roshan</dc:creator>
  <cp:lastModifiedBy>Fatemeh Roshan</cp:lastModifiedBy>
  <dcterms:created xsi:type="dcterms:W3CDTF">2015-09-22T07:27:51Z</dcterms:created>
  <dcterms:modified xsi:type="dcterms:W3CDTF">2015-09-27T04:38:32Z</dcterms:modified>
</cp:coreProperties>
</file>