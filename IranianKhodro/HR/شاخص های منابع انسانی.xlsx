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IRK\sources\bi\HR\"/>
    </mc:Choice>
  </mc:AlternateContent>
  <xr:revisionPtr revIDLastSave="0" documentId="13_ncr:1_{887FDEFB-C73A-4F7D-B501-B9E60952EAC4}" xr6:coauthVersionLast="47" xr6:coauthVersionMax="47" xr10:uidLastSave="{00000000-0000-0000-0000-000000000000}"/>
  <bookViews>
    <workbookView xWindow="-28920" yWindow="-120" windowWidth="29040" windowHeight="15720" xr2:uid="{9270F2A3-46E9-4D34-B6D8-57E5312804FC}"/>
  </bookViews>
  <sheets>
    <sheet name="منابع انسانی" sheetId="1" r:id="rId1"/>
  </sheets>
  <definedNames>
    <definedName name="_xlnm._FilterDatabase" localSheetId="0" hidden="1">'منابع انسانی'!$A$5:$AC$17</definedName>
    <definedName name="_xlnm.Print_Area" localSheetId="0">'منابع انسانی'!$F$4:$N$17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16" i="1" l="1"/>
  <c r="T15" i="1"/>
  <c r="AF15" i="1" s="1"/>
  <c r="AI7" i="1"/>
  <c r="AI8" i="1"/>
  <c r="AI9" i="1"/>
  <c r="AI10" i="1"/>
  <c r="AI11" i="1"/>
  <c r="AI12" i="1"/>
  <c r="AI13" i="1"/>
  <c r="AI14" i="1"/>
  <c r="AI15" i="1"/>
  <c r="AI16" i="1"/>
  <c r="AI17" i="1"/>
  <c r="AI6" i="1"/>
  <c r="AH7" i="1"/>
  <c r="AH8" i="1"/>
  <c r="AH9" i="1"/>
  <c r="AH10" i="1"/>
  <c r="AH11" i="1"/>
  <c r="AH12" i="1"/>
  <c r="AH13" i="1"/>
  <c r="AH14" i="1"/>
  <c r="AH15" i="1"/>
  <c r="AH16" i="1"/>
  <c r="AH17" i="1"/>
  <c r="AH6" i="1"/>
  <c r="AG7" i="1"/>
  <c r="AG8" i="1"/>
  <c r="AG9" i="1"/>
  <c r="AG10" i="1"/>
  <c r="AG11" i="1"/>
  <c r="AG12" i="1"/>
  <c r="AG13" i="1"/>
  <c r="AG14" i="1"/>
  <c r="AG15" i="1"/>
  <c r="AG16" i="1"/>
  <c r="AG17" i="1"/>
  <c r="AG6" i="1"/>
  <c r="AF7" i="1"/>
  <c r="AF8" i="1"/>
  <c r="AF9" i="1"/>
  <c r="AF10" i="1"/>
  <c r="AF11" i="1"/>
  <c r="AF12" i="1"/>
  <c r="AF13" i="1"/>
  <c r="AF14" i="1"/>
  <c r="AF17" i="1"/>
  <c r="AF6" i="1"/>
</calcChain>
</file>

<file path=xl/sharedStrings.xml><?xml version="1.0" encoding="utf-8"?>
<sst xmlns="http://schemas.openxmlformats.org/spreadsheetml/2006/main" count="226" uniqueCount="75">
  <si>
    <t>بانک اطلاعاتی شاخص های فرایندی</t>
  </si>
  <si>
    <t>IRK-SM-FO-022</t>
  </si>
  <si>
    <t>سوابق پایش</t>
  </si>
  <si>
    <t>REV:00</t>
  </si>
  <si>
    <t>توزیع نسخ: 1- سیستم ها و روش ها</t>
  </si>
  <si>
    <t>ردیف</t>
  </si>
  <si>
    <t>فرایند مربوطه</t>
  </si>
  <si>
    <t>شاخص</t>
  </si>
  <si>
    <t>نوع</t>
  </si>
  <si>
    <t>شاخص عملکردی/ 
هدف میانی مرتبط</t>
  </si>
  <si>
    <t>ماهیت شاخص</t>
  </si>
  <si>
    <t>اندازه گیری و تحلیل</t>
  </si>
  <si>
    <t>مکانیزم اندازه گیری</t>
  </si>
  <si>
    <t>نوع شاخص</t>
  </si>
  <si>
    <t>بهار 1404</t>
  </si>
  <si>
    <t>تابستان 1404</t>
  </si>
  <si>
    <t>پاییز 1404</t>
  </si>
  <si>
    <t>زمستان 1404</t>
  </si>
  <si>
    <t>Q</t>
  </si>
  <si>
    <t>C</t>
  </si>
  <si>
    <t>D</t>
  </si>
  <si>
    <t xml:space="preserve">دوره </t>
  </si>
  <si>
    <t>مسئول</t>
  </si>
  <si>
    <t>مشترک با استراتژیک</t>
  </si>
  <si>
    <t>فرایندی</t>
  </si>
  <si>
    <t>هدف</t>
  </si>
  <si>
    <t>معیار</t>
  </si>
  <si>
    <t xml:space="preserve"> اندازه گیری</t>
  </si>
  <si>
    <t xml:space="preserve"> مدیریت منابع انسانی</t>
  </si>
  <si>
    <t>درصد تحقق برنامه آموزشی</t>
  </si>
  <si>
    <t>ü</t>
  </si>
  <si>
    <t>توسعه منابع انسانی/ درصد اجرای برنامه های آموزشی</t>
  </si>
  <si>
    <t>افزایشی</t>
  </si>
  <si>
    <t>شش ماهه</t>
  </si>
  <si>
    <t>مدیریت منابع انسانی</t>
  </si>
  <si>
    <t>(تعداد دوره ها مطابق برنامه / تعداد کل دوره ها)*100</t>
  </si>
  <si>
    <t>---</t>
  </si>
  <si>
    <t>متوسط سرانه آموزشی</t>
  </si>
  <si>
    <t xml:space="preserve"> (کل نفر ساعت آموزشی برگزار شده / تعداد کل کارکنان)*100</t>
  </si>
  <si>
    <t>متوسط درصد اثربخشی آموزش ها</t>
  </si>
  <si>
    <t xml:space="preserve">جمع درصد اثربخشی دوره ها / تعداد دوره های آموزش برگزار شده </t>
  </si>
  <si>
    <t>درصد اجرای دوره های آموزشی تخصصی</t>
  </si>
  <si>
    <t>سه ماهه</t>
  </si>
  <si>
    <t>(تعداد دوره های آموزشی تخصصی برگزار شده / تعداد کل دوره های برگزار شده)*100</t>
  </si>
  <si>
    <t>درصد اجرای دوره های آموزشی عمومی</t>
  </si>
  <si>
    <t>(تعداد دوره های آموزشی عمومی برگزار شده / تعداد کل دوره های برگزار شده)*100</t>
  </si>
  <si>
    <t>تعداد دانش ثبت شده</t>
  </si>
  <si>
    <t>توسعه خلاقیت و نوآوری</t>
  </si>
  <si>
    <t>تعداد دانش های ثبت شده در فرایند مدیریت دانش</t>
  </si>
  <si>
    <t>سرانه ارائه پيشنهادات</t>
  </si>
  <si>
    <t>تعداد پيشنهادات اجرايي ارائه شده / متوسط تعداد کارکنان</t>
  </si>
  <si>
    <t>ميانگين امتياز نهايي رضايت کارکنان از منابع انسانی</t>
  </si>
  <si>
    <t>توسعه منابع انسانی/ نرخ خروج و نرخ ماندگاری پرسنل</t>
  </si>
  <si>
    <r>
      <t xml:space="preserve">مدیر </t>
    </r>
    <r>
      <rPr>
        <sz val="8"/>
        <rFont val="Times New Roman"/>
        <family val="1"/>
      </rPr>
      <t>CRM</t>
    </r>
  </si>
  <si>
    <t>مجموع درصد رضايت کارکنان / تعداد کارکنان</t>
  </si>
  <si>
    <t>متوسط نمره ارزيابی عملکرد کارکنان</t>
  </si>
  <si>
    <t>جمع نمره ارزيابی کسب شده برای کارکنان / تعداد کارکنان</t>
  </si>
  <si>
    <t xml:space="preserve"> نرخ ماندگاری نیرو</t>
  </si>
  <si>
    <t xml:space="preserve"> تعدادکل در ابتدای دوره - تعداد کارکنان ترک کار کرده/ تعداد کل کارکنان در ابتدای دوره</t>
  </si>
  <si>
    <t>نرخ خروج کارکنان (استعفا)</t>
  </si>
  <si>
    <t>کاهشی</t>
  </si>
  <si>
    <t>تعداد کارکنانی که بدلیل استعفا ترک کار کرده اند / تعداد کارکنان</t>
  </si>
  <si>
    <t>نرخ خروج کارکنان (قطع همکاری)</t>
  </si>
  <si>
    <t>تعداد کارکنانی که قطع همکاری کرده اند / تعداد کارکنان</t>
  </si>
  <si>
    <t>نمودار روند</t>
  </si>
  <si>
    <t>سال 1404</t>
  </si>
  <si>
    <t>استراتژیک</t>
  </si>
  <si>
    <t>فرآیندی</t>
  </si>
  <si>
    <t>تعداد پرسنل به تفکیک واحدها</t>
  </si>
  <si>
    <t>تعداد کل پرسنل</t>
  </si>
  <si>
    <t>تعداد پرسنل به تفکیک تحصیلات</t>
  </si>
  <si>
    <t>تعداد پرسنل به تفکیک سمت</t>
  </si>
  <si>
    <t>تعداد پرسنل به تفکیک سمت در هر واحد</t>
  </si>
  <si>
    <t>همکاران سیستم</t>
  </si>
  <si>
    <t>آموزش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</si>
</sst>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B Nazanin"/>
      <charset val="178"/>
    </font>
    <font>
      <sz val="9"/>
      <color theme="1"/>
      <name val="Times New Roman"/>
      <family val="1"/>
    </font>
    <font>
      <sz val="9"/>
      <color theme="1"/>
      <name val="Calibri"/>
      <family val="2"/>
      <scheme val="minor"/>
    </font>
    <font>
      <sz val="9"/>
      <color theme="1"/>
      <name val="B Nazanin"/>
      <charset val="178"/>
    </font>
    <font>
      <sz val="11"/>
      <color theme="1"/>
      <name val="B Nazanin"/>
      <charset val="178"/>
    </font>
    <font>
      <sz val="10"/>
      <color theme="1"/>
      <name val="B Nazanin"/>
      <charset val="178"/>
    </font>
    <font>
      <b/>
      <sz val="11"/>
      <color rgb="FF002060"/>
      <name val="B Nazanin"/>
      <charset val="178"/>
    </font>
    <font>
      <sz val="10"/>
      <color rgb="FF000000"/>
      <name val="Times New Roman"/>
      <family val="1"/>
    </font>
    <font>
      <b/>
      <sz val="9"/>
      <color rgb="FF002060"/>
      <name val="B Nazanin"/>
      <charset val="178"/>
    </font>
    <font>
      <sz val="9"/>
      <color rgb="FF000000"/>
      <name val="B Nazanin"/>
      <charset val="178"/>
    </font>
    <font>
      <sz val="10"/>
      <color theme="1"/>
      <name val="Wingdings"/>
      <charset val="2"/>
    </font>
    <font>
      <sz val="9"/>
      <name val="B Nazanin"/>
      <charset val="178"/>
    </font>
    <font>
      <sz val="10"/>
      <color rgb="FF000000"/>
      <name val="B Nazanin"/>
      <charset val="178"/>
    </font>
    <font>
      <sz val="9"/>
      <color theme="1"/>
      <name val="Wingdings"/>
      <charset val="2"/>
    </font>
    <font>
      <sz val="8"/>
      <name val="Times New Roman"/>
      <family val="1"/>
    </font>
    <font>
      <sz val="10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0"/>
      <name val="B Nazanin"/>
      <charset val="178"/>
    </font>
    <font>
      <b/>
      <sz val="11"/>
      <color theme="0"/>
      <name val="B Nazanin"/>
      <charset val="178"/>
    </font>
    <font>
      <b/>
      <sz val="9"/>
      <color theme="0"/>
      <name val="B Nazanin"/>
      <charset val="178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BFDFF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485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98">
    <xf numFmtId="0" fontId="0" fillId="0" borderId="0" xfId="0"/>
    <xf numFmtId="0" fontId="4" fillId="2" borderId="0" xfId="0" applyFont="1" applyFill="1" applyAlignment="1">
      <alignment wrapText="1"/>
    </xf>
    <xf numFmtId="0" fontId="5" fillId="0" borderId="4" xfId="0" applyFont="1" applyBorder="1" applyAlignment="1">
      <alignment vertical="center"/>
    </xf>
    <xf numFmtId="0" fontId="6" fillId="0" borderId="0" xfId="0" applyFont="1" applyAlignment="1">
      <alignment horizontal="center" vertical="center"/>
    </xf>
    <xf numFmtId="0" fontId="5" fillId="4" borderId="7" xfId="0" applyFont="1" applyFill="1" applyBorder="1" applyAlignment="1">
      <alignment horizontal="center" vertical="center" wrapText="1"/>
    </xf>
    <xf numFmtId="0" fontId="5" fillId="4" borderId="9" xfId="0" applyFont="1" applyFill="1" applyBorder="1" applyAlignment="1">
      <alignment horizontal="center" vertical="center" wrapText="1"/>
    </xf>
    <xf numFmtId="0" fontId="9" fillId="4" borderId="6" xfId="0" applyFont="1" applyFill="1" applyBorder="1" applyAlignment="1">
      <alignment horizontal="center" vertical="center" wrapText="1" readingOrder="2"/>
    </xf>
    <xf numFmtId="0" fontId="7" fillId="4" borderId="6" xfId="0" applyFont="1" applyFill="1" applyBorder="1" applyAlignment="1">
      <alignment horizontal="center" vertical="center" wrapText="1"/>
    </xf>
    <xf numFmtId="0" fontId="5" fillId="4" borderId="6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/>
    </xf>
    <xf numFmtId="0" fontId="10" fillId="7" borderId="1" xfId="0" applyFont="1" applyFill="1" applyBorder="1" applyAlignment="1">
      <alignment horizontal="center" vertical="center" wrapText="1"/>
    </xf>
    <xf numFmtId="0" fontId="10" fillId="8" borderId="1" xfId="0" applyFont="1" applyFill="1" applyBorder="1" applyAlignment="1">
      <alignment horizontal="center" vertical="center"/>
    </xf>
    <xf numFmtId="0" fontId="10" fillId="8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 readingOrder="2"/>
    </xf>
    <xf numFmtId="0" fontId="12" fillId="0" borderId="1" xfId="0" applyFont="1" applyBorder="1" applyAlignment="1">
      <alignment horizontal="center" vertical="center" wrapText="1" readingOrder="2"/>
    </xf>
    <xf numFmtId="0" fontId="7" fillId="0" borderId="1" xfId="0" applyFont="1" applyBorder="1" applyAlignment="1">
      <alignment horizontal="center" vertical="center" wrapText="1" readingOrder="2"/>
    </xf>
    <xf numFmtId="0" fontId="13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 readingOrder="2"/>
    </xf>
    <xf numFmtId="0" fontId="15" fillId="0" borderId="1" xfId="0" applyFont="1" applyBorder="1" applyAlignment="1">
      <alignment horizontal="center" vertical="center" wrapText="1"/>
    </xf>
    <xf numFmtId="0" fontId="6" fillId="5" borderId="1" xfId="0" quotePrefix="1" applyFont="1" applyFill="1" applyBorder="1" applyAlignment="1">
      <alignment horizontal="center" vertical="center"/>
    </xf>
    <xf numFmtId="9" fontId="6" fillId="6" borderId="1" xfId="0" applyNumberFormat="1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6" fillId="7" borderId="1" xfId="0" quotePrefix="1" applyFont="1" applyFill="1" applyBorder="1" applyAlignment="1">
      <alignment horizontal="center" vertical="center"/>
    </xf>
    <xf numFmtId="9" fontId="6" fillId="8" borderId="1" xfId="0" applyNumberFormat="1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6" fillId="6" borderId="1" xfId="0" quotePrefix="1" applyFont="1" applyFill="1" applyBorder="1" applyAlignment="1">
      <alignment horizontal="center" vertical="center"/>
    </xf>
    <xf numFmtId="0" fontId="6" fillId="8" borderId="1" xfId="0" quotePrefix="1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11" fillId="7" borderId="1" xfId="0" applyFont="1" applyFill="1" applyBorder="1" applyAlignment="1">
      <alignment horizontal="center" vertical="center" wrapText="1" readingOrder="2"/>
    </xf>
    <xf numFmtId="0" fontId="15" fillId="7" borderId="1" xfId="0" applyFont="1" applyFill="1" applyBorder="1" applyAlignment="1">
      <alignment horizontal="center" vertical="center" wrapText="1"/>
    </xf>
    <xf numFmtId="9" fontId="6" fillId="5" borderId="1" xfId="0" applyNumberFormat="1" applyFont="1" applyFill="1" applyBorder="1" applyAlignment="1">
      <alignment horizontal="center" vertical="center"/>
    </xf>
    <xf numFmtId="9" fontId="6" fillId="7" borderId="1" xfId="0" applyNumberFormat="1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13" fillId="7" borderId="1" xfId="0" applyFont="1" applyFill="1" applyBorder="1" applyAlignment="1">
      <alignment horizontal="center" vertical="center" wrapText="1"/>
    </xf>
    <xf numFmtId="0" fontId="5" fillId="0" borderId="6" xfId="0" applyFont="1" applyBorder="1" applyAlignment="1">
      <alignment vertical="center" wrapText="1"/>
    </xf>
    <xf numFmtId="0" fontId="5" fillId="7" borderId="2" xfId="0" applyFont="1" applyFill="1" applyBorder="1" applyAlignment="1">
      <alignment horizontal="center" vertical="center" wrapText="1"/>
    </xf>
    <xf numFmtId="9" fontId="7" fillId="0" borderId="1" xfId="0" applyNumberFormat="1" applyFont="1" applyBorder="1" applyAlignment="1">
      <alignment horizontal="center" vertical="center" wrapText="1" readingOrder="2"/>
    </xf>
    <xf numFmtId="0" fontId="5" fillId="0" borderId="1" xfId="0" applyFont="1" applyBorder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17" fillId="0" borderId="0" xfId="0" applyFont="1"/>
    <xf numFmtId="0" fontId="17" fillId="0" borderId="0" xfId="0" applyFont="1" applyAlignment="1">
      <alignment horizontal="center"/>
    </xf>
    <xf numFmtId="0" fontId="4" fillId="0" borderId="0" xfId="0" applyFont="1"/>
    <xf numFmtId="0" fontId="4" fillId="0" borderId="0" xfId="0" applyFont="1" applyAlignment="1">
      <alignment wrapText="1"/>
    </xf>
    <xf numFmtId="0" fontId="6" fillId="5" borderId="1" xfId="0" applyFont="1" applyFill="1" applyBorder="1" applyAlignment="1" applyProtection="1">
      <alignment horizontal="center" vertical="center"/>
      <protection locked="0"/>
    </xf>
    <xf numFmtId="0" fontId="6" fillId="6" borderId="1" xfId="0" applyFont="1" applyFill="1" applyBorder="1" applyAlignment="1" applyProtection="1">
      <alignment horizontal="center" vertical="center"/>
      <protection locked="0"/>
    </xf>
    <xf numFmtId="0" fontId="6" fillId="7" borderId="1" xfId="0" applyFont="1" applyFill="1" applyBorder="1" applyAlignment="1" applyProtection="1">
      <alignment horizontal="center" vertical="center"/>
      <protection locked="0"/>
    </xf>
    <xf numFmtId="0" fontId="6" fillId="8" borderId="1" xfId="0" applyFont="1" applyFill="1" applyBorder="1" applyAlignment="1" applyProtection="1">
      <alignment horizontal="center" vertical="center"/>
      <protection locked="0"/>
    </xf>
    <xf numFmtId="0" fontId="18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2" fillId="0" borderId="0" xfId="0" applyFont="1" applyAlignment="1">
      <alignment horizontal="center" vertical="center" wrapText="1"/>
    </xf>
    <xf numFmtId="0" fontId="19" fillId="0" borderId="0" xfId="0" applyFont="1"/>
    <xf numFmtId="9" fontId="6" fillId="5" borderId="1" xfId="0" applyNumberFormat="1" applyFont="1" applyFill="1" applyBorder="1" applyAlignment="1" applyProtection="1">
      <alignment horizontal="center" vertical="center"/>
      <protection locked="0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5" fillId="9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4" fillId="10" borderId="0" xfId="0" applyFont="1" applyFill="1" applyAlignment="1">
      <alignment horizontal="center" vertical="center" wrapText="1"/>
    </xf>
    <xf numFmtId="0" fontId="5" fillId="10" borderId="2" xfId="0" applyFont="1" applyFill="1" applyBorder="1" applyAlignment="1">
      <alignment horizontal="center" vertical="center" wrapText="1"/>
    </xf>
    <xf numFmtId="0" fontId="6" fillId="4" borderId="7" xfId="0" applyFont="1" applyFill="1" applyBorder="1" applyAlignment="1">
      <alignment horizontal="center" vertical="center"/>
    </xf>
    <xf numFmtId="0" fontId="6" fillId="4" borderId="9" xfId="0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7" fillId="4" borderId="6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/>
    </xf>
    <xf numFmtId="0" fontId="6" fillId="4" borderId="6" xfId="0" applyFont="1" applyFill="1" applyBorder="1" applyAlignment="1">
      <alignment horizontal="center" vertical="center"/>
    </xf>
    <xf numFmtId="0" fontId="6" fillId="4" borderId="8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7" fillId="4" borderId="10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1" fillId="3" borderId="1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38100</xdr:rowOff>
    </xdr:from>
    <xdr:to>
      <xdr:col>1</xdr:col>
      <xdr:colOff>701040</xdr:colOff>
      <xdr:row>1</xdr:row>
      <xdr:rowOff>209550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9D54D65-4024-494C-9443-08BB4A7CDC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89219925" y="38100"/>
          <a:ext cx="933450" cy="409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8B1419-69C6-48EE-843A-DE6A9799D7A4}">
  <dimension ref="A1:AI22"/>
  <sheetViews>
    <sheetView rightToLeft="1" tabSelected="1" topLeftCell="F1" workbookViewId="0">
      <selection activeCell="N13" sqref="N13"/>
    </sheetView>
  </sheetViews>
  <sheetFormatPr defaultRowHeight="14.4" x14ac:dyDescent="0.3"/>
  <cols>
    <col min="1" max="1" width="4.5546875" bestFit="1" customWidth="1"/>
    <col min="2" max="2" width="12.5546875" bestFit="1" customWidth="1"/>
    <col min="3" max="5" width="12.5546875" customWidth="1"/>
    <col min="6" max="6" width="28.109375" style="45" bestFit="1" customWidth="1"/>
    <col min="7" max="9" width="3.5546875" style="46" bestFit="1" customWidth="1"/>
    <col min="10" max="10" width="11.6640625" style="47" bestFit="1" customWidth="1"/>
    <col min="11" max="11" width="6.109375" style="46" customWidth="1"/>
    <col min="12" max="12" width="6.5546875" style="46" customWidth="1"/>
    <col min="13" max="13" width="12.109375" style="48" bestFit="1" customWidth="1"/>
    <col min="14" max="14" width="53.33203125" style="46" bestFit="1" customWidth="1"/>
    <col min="15" max="16" width="9.109375" style="49" customWidth="1"/>
    <col min="17" max="17" width="0.88671875" style="1" customWidth="1"/>
    <col min="18" max="18" width="8.5546875" bestFit="1" customWidth="1"/>
    <col min="19" max="19" width="8.44140625" bestFit="1" customWidth="1"/>
    <col min="20" max="20" width="9.109375" customWidth="1"/>
    <col min="21" max="21" width="8.5546875" bestFit="1" customWidth="1"/>
    <col min="22" max="22" width="8.44140625" bestFit="1" customWidth="1"/>
    <col min="24" max="24" width="8.5546875" bestFit="1" customWidth="1"/>
    <col min="25" max="25" width="8.44140625" bestFit="1" customWidth="1"/>
    <col min="27" max="27" width="8.5546875" bestFit="1" customWidth="1"/>
    <col min="28" max="28" width="8.44140625" bestFit="1" customWidth="1"/>
    <col min="30" max="30" width="0.88671875" style="1" customWidth="1"/>
    <col min="31" max="31" width="45.44140625" customWidth="1"/>
    <col min="32" max="35" width="9.109375" style="58"/>
  </cols>
  <sheetData>
    <row r="1" spans="1:35" ht="20.100000000000001" customHeight="1" x14ac:dyDescent="0.3">
      <c r="A1" s="84"/>
      <c r="B1" s="84"/>
      <c r="C1" s="62"/>
      <c r="D1" s="62"/>
      <c r="E1" s="62"/>
      <c r="F1" s="85" t="s">
        <v>0</v>
      </c>
      <c r="G1" s="85"/>
      <c r="H1" s="85"/>
      <c r="I1" s="85"/>
      <c r="J1" s="85"/>
      <c r="K1" s="85"/>
      <c r="L1" s="85"/>
      <c r="M1" s="85"/>
      <c r="N1" s="85"/>
      <c r="O1" s="86" t="s">
        <v>1</v>
      </c>
      <c r="P1" s="87"/>
      <c r="R1" s="88" t="s">
        <v>2</v>
      </c>
      <c r="S1" s="88"/>
      <c r="T1" s="88"/>
      <c r="U1" s="88"/>
      <c r="V1" s="88"/>
      <c r="W1" s="88"/>
      <c r="X1" s="88"/>
      <c r="Y1" s="88"/>
      <c r="Z1" s="88"/>
      <c r="AA1" s="88"/>
      <c r="AB1" s="88"/>
      <c r="AC1" s="88"/>
      <c r="AE1" s="89" t="s">
        <v>64</v>
      </c>
      <c r="AF1" s="54"/>
      <c r="AG1" s="54"/>
      <c r="AH1" s="54"/>
      <c r="AI1" s="54"/>
    </row>
    <row r="2" spans="1:35" ht="20.100000000000001" customHeight="1" x14ac:dyDescent="0.3">
      <c r="A2" s="84"/>
      <c r="B2" s="84"/>
      <c r="C2" s="62"/>
      <c r="D2" s="62"/>
      <c r="E2" s="62"/>
      <c r="F2" s="85"/>
      <c r="G2" s="85"/>
      <c r="H2" s="85"/>
      <c r="I2" s="85"/>
      <c r="J2" s="85"/>
      <c r="K2" s="85"/>
      <c r="L2" s="85"/>
      <c r="M2" s="85"/>
      <c r="N2" s="85"/>
      <c r="O2" s="86" t="s">
        <v>3</v>
      </c>
      <c r="P2" s="87"/>
      <c r="R2" s="88"/>
      <c r="S2" s="88"/>
      <c r="T2" s="88"/>
      <c r="U2" s="88"/>
      <c r="V2" s="88"/>
      <c r="W2" s="88"/>
      <c r="X2" s="88"/>
      <c r="Y2" s="88"/>
      <c r="Z2" s="88"/>
      <c r="AA2" s="88"/>
      <c r="AB2" s="88"/>
      <c r="AC2" s="88"/>
      <c r="AE2" s="90"/>
      <c r="AF2" s="54"/>
      <c r="AG2" s="54"/>
      <c r="AH2" s="54"/>
      <c r="AI2" s="54"/>
    </row>
    <row r="3" spans="1:35" s="3" customFormat="1" ht="13.5" customHeight="1" x14ac:dyDescent="0.25">
      <c r="A3" s="2" t="s">
        <v>4</v>
      </c>
      <c r="B3" s="2"/>
      <c r="C3" s="2"/>
      <c r="D3" s="2"/>
      <c r="E3" s="2"/>
      <c r="F3" s="2"/>
      <c r="G3" s="92"/>
      <c r="H3" s="92"/>
      <c r="I3" s="92"/>
      <c r="J3" s="92"/>
      <c r="K3" s="92"/>
      <c r="L3" s="92"/>
      <c r="M3" s="92"/>
      <c r="N3" s="92"/>
      <c r="O3" s="92"/>
      <c r="P3" s="92"/>
      <c r="Q3" s="1"/>
      <c r="R3" s="93"/>
      <c r="S3" s="93"/>
      <c r="T3" s="93"/>
      <c r="U3" s="94"/>
      <c r="V3" s="94"/>
      <c r="W3" s="94"/>
      <c r="X3" s="94"/>
      <c r="Y3" s="94"/>
      <c r="Z3" s="94"/>
      <c r="AA3" s="94"/>
      <c r="AB3" s="94"/>
      <c r="AC3" s="94"/>
      <c r="AD3" s="1"/>
      <c r="AF3" s="55"/>
      <c r="AG3" s="55"/>
      <c r="AH3" s="55"/>
      <c r="AI3" s="55"/>
    </row>
    <row r="4" spans="1:35" s="3" customFormat="1" ht="18.600000000000001" x14ac:dyDescent="0.25">
      <c r="A4" s="79" t="s">
        <v>5</v>
      </c>
      <c r="B4" s="80" t="s">
        <v>6</v>
      </c>
      <c r="C4" s="80" t="s">
        <v>13</v>
      </c>
      <c r="D4" s="67" t="s">
        <v>74</v>
      </c>
      <c r="E4" s="67" t="s">
        <v>73</v>
      </c>
      <c r="F4" s="4" t="s">
        <v>7</v>
      </c>
      <c r="G4" s="82" t="s">
        <v>8</v>
      </c>
      <c r="H4" s="82"/>
      <c r="I4" s="82"/>
      <c r="J4" s="77" t="s">
        <v>9</v>
      </c>
      <c r="K4" s="76" t="s">
        <v>10</v>
      </c>
      <c r="L4" s="79" t="s">
        <v>11</v>
      </c>
      <c r="M4" s="79"/>
      <c r="N4" s="76" t="s">
        <v>12</v>
      </c>
      <c r="O4" s="78" t="s">
        <v>13</v>
      </c>
      <c r="P4" s="78"/>
      <c r="Q4" s="1"/>
      <c r="R4" s="95" t="s">
        <v>14</v>
      </c>
      <c r="S4" s="95"/>
      <c r="T4" s="95"/>
      <c r="U4" s="96" t="s">
        <v>15</v>
      </c>
      <c r="V4" s="96"/>
      <c r="W4" s="96"/>
      <c r="X4" s="97" t="s">
        <v>16</v>
      </c>
      <c r="Y4" s="97"/>
      <c r="Z4" s="97"/>
      <c r="AA4" s="91" t="s">
        <v>17</v>
      </c>
      <c r="AB4" s="91"/>
      <c r="AC4" s="91"/>
      <c r="AD4" s="1"/>
      <c r="AE4" s="91" t="s">
        <v>65</v>
      </c>
      <c r="AF4" s="56"/>
      <c r="AG4" s="56"/>
      <c r="AH4" s="56"/>
      <c r="AI4" s="56"/>
    </row>
    <row r="5" spans="1:35" s="3" customFormat="1" ht="28.8" x14ac:dyDescent="0.25">
      <c r="A5" s="80"/>
      <c r="B5" s="81"/>
      <c r="C5" s="81"/>
      <c r="D5" s="68"/>
      <c r="E5" s="68"/>
      <c r="F5" s="5"/>
      <c r="G5" s="6" t="s">
        <v>18</v>
      </c>
      <c r="H5" s="6" t="s">
        <v>19</v>
      </c>
      <c r="I5" s="6" t="s">
        <v>20</v>
      </c>
      <c r="J5" s="83"/>
      <c r="K5" s="77"/>
      <c r="L5" s="7" t="s">
        <v>21</v>
      </c>
      <c r="M5" s="8" t="s">
        <v>22</v>
      </c>
      <c r="N5" s="77"/>
      <c r="O5" s="9" t="s">
        <v>23</v>
      </c>
      <c r="P5" s="9" t="s">
        <v>24</v>
      </c>
      <c r="Q5" s="1"/>
      <c r="R5" s="10" t="s">
        <v>25</v>
      </c>
      <c r="S5" s="10" t="s">
        <v>26</v>
      </c>
      <c r="T5" s="11" t="s">
        <v>27</v>
      </c>
      <c r="U5" s="12" t="s">
        <v>25</v>
      </c>
      <c r="V5" s="12" t="s">
        <v>26</v>
      </c>
      <c r="W5" s="13" t="s">
        <v>27</v>
      </c>
      <c r="X5" s="14" t="s">
        <v>25</v>
      </c>
      <c r="Y5" s="14" t="s">
        <v>26</v>
      </c>
      <c r="Z5" s="15" t="s">
        <v>27</v>
      </c>
      <c r="AA5" s="16" t="s">
        <v>25</v>
      </c>
      <c r="AB5" s="16" t="s">
        <v>26</v>
      </c>
      <c r="AC5" s="17" t="s">
        <v>27</v>
      </c>
      <c r="AD5" s="1"/>
      <c r="AE5" s="91"/>
      <c r="AF5" s="57"/>
      <c r="AG5" s="57"/>
      <c r="AH5" s="57"/>
      <c r="AI5" s="57"/>
    </row>
    <row r="6" spans="1:35" s="3" customFormat="1" ht="16.8" x14ac:dyDescent="0.25">
      <c r="A6" s="18">
        <v>122</v>
      </c>
      <c r="B6" s="19" t="s">
        <v>28</v>
      </c>
      <c r="C6" s="63" t="s">
        <v>67</v>
      </c>
      <c r="D6" s="63"/>
      <c r="E6" s="66"/>
      <c r="F6" s="20" t="s">
        <v>29</v>
      </c>
      <c r="G6" s="21" t="s">
        <v>30</v>
      </c>
      <c r="H6" s="21" t="s">
        <v>30</v>
      </c>
      <c r="I6" s="21" t="s">
        <v>30</v>
      </c>
      <c r="J6" s="70" t="s">
        <v>31</v>
      </c>
      <c r="K6" s="22" t="s">
        <v>32</v>
      </c>
      <c r="L6" s="22" t="s">
        <v>33</v>
      </c>
      <c r="M6" s="23" t="s">
        <v>34</v>
      </c>
      <c r="N6" s="24" t="s">
        <v>35</v>
      </c>
      <c r="O6" s="19"/>
      <c r="P6" s="25" t="s">
        <v>30</v>
      </c>
      <c r="Q6" s="1"/>
      <c r="R6" s="26" t="s">
        <v>36</v>
      </c>
      <c r="S6" s="26" t="s">
        <v>36</v>
      </c>
      <c r="T6" s="26" t="s">
        <v>36</v>
      </c>
      <c r="U6" s="27">
        <v>1</v>
      </c>
      <c r="V6" s="27">
        <v>0.9</v>
      </c>
      <c r="W6" s="51"/>
      <c r="X6" s="29" t="s">
        <v>36</v>
      </c>
      <c r="Y6" s="29" t="s">
        <v>36</v>
      </c>
      <c r="Z6" s="29" t="s">
        <v>36</v>
      </c>
      <c r="AA6" s="30">
        <v>1</v>
      </c>
      <c r="AB6" s="30">
        <v>0.98</v>
      </c>
      <c r="AC6" s="53"/>
      <c r="AD6" s="1"/>
      <c r="AE6" s="53"/>
      <c r="AF6" s="55" t="str">
        <f>T6</f>
        <v>---</v>
      </c>
      <c r="AG6" s="55">
        <f>W6</f>
        <v>0</v>
      </c>
      <c r="AH6" s="55" t="str">
        <f>Z6</f>
        <v>---</v>
      </c>
      <c r="AI6" s="55">
        <f>AC6</f>
        <v>0</v>
      </c>
    </row>
    <row r="7" spans="1:35" s="3" customFormat="1" ht="16.8" x14ac:dyDescent="0.25">
      <c r="A7" s="18">
        <v>123</v>
      </c>
      <c r="B7" s="19" t="s">
        <v>28</v>
      </c>
      <c r="C7" s="63" t="s">
        <v>67</v>
      </c>
      <c r="D7" s="63"/>
      <c r="E7" s="66"/>
      <c r="F7" s="20" t="s">
        <v>37</v>
      </c>
      <c r="G7" s="21" t="s">
        <v>30</v>
      </c>
      <c r="H7" s="21" t="s">
        <v>30</v>
      </c>
      <c r="I7" s="21" t="s">
        <v>30</v>
      </c>
      <c r="J7" s="71"/>
      <c r="K7" s="22" t="s">
        <v>32</v>
      </c>
      <c r="L7" s="22" t="s">
        <v>33</v>
      </c>
      <c r="M7" s="23" t="s">
        <v>34</v>
      </c>
      <c r="N7" s="24" t="s">
        <v>38</v>
      </c>
      <c r="O7" s="19"/>
      <c r="P7" s="25" t="s">
        <v>30</v>
      </c>
      <c r="Q7" s="1"/>
      <c r="R7" s="26" t="s">
        <v>36</v>
      </c>
      <c r="S7" s="26" t="s">
        <v>36</v>
      </c>
      <c r="T7" s="26" t="s">
        <v>36</v>
      </c>
      <c r="U7" s="32" t="s">
        <v>36</v>
      </c>
      <c r="V7" s="32" t="s">
        <v>36</v>
      </c>
      <c r="W7" s="51"/>
      <c r="X7" s="29" t="s">
        <v>36</v>
      </c>
      <c r="Y7" s="29" t="s">
        <v>36</v>
      </c>
      <c r="Z7" s="29" t="s">
        <v>36</v>
      </c>
      <c r="AA7" s="33" t="s">
        <v>36</v>
      </c>
      <c r="AB7" s="33" t="s">
        <v>36</v>
      </c>
      <c r="AC7" s="53"/>
      <c r="AD7" s="1"/>
      <c r="AE7" s="53"/>
      <c r="AF7" s="55" t="str">
        <f t="shared" ref="AF7:AF17" si="0">T7</f>
        <v>---</v>
      </c>
      <c r="AG7" s="55">
        <f t="shared" ref="AG7:AG17" si="1">W7</f>
        <v>0</v>
      </c>
      <c r="AH7" s="55" t="str">
        <f t="shared" ref="AH7:AH17" si="2">Z7</f>
        <v>---</v>
      </c>
      <c r="AI7" s="55">
        <f t="shared" ref="AI7:AI17" si="3">AC7</f>
        <v>0</v>
      </c>
    </row>
    <row r="8" spans="1:35" s="3" customFormat="1" ht="16.8" x14ac:dyDescent="0.25">
      <c r="A8" s="18">
        <v>124</v>
      </c>
      <c r="B8" s="19" t="s">
        <v>28</v>
      </c>
      <c r="C8" s="63" t="s">
        <v>67</v>
      </c>
      <c r="D8" s="63"/>
      <c r="E8" s="69"/>
      <c r="F8" s="20" t="s">
        <v>39</v>
      </c>
      <c r="G8" s="21" t="s">
        <v>30</v>
      </c>
      <c r="H8" s="21" t="s">
        <v>30</v>
      </c>
      <c r="I8" s="21" t="s">
        <v>30</v>
      </c>
      <c r="J8" s="71"/>
      <c r="K8" s="22" t="s">
        <v>32</v>
      </c>
      <c r="L8" s="22" t="s">
        <v>33</v>
      </c>
      <c r="M8" s="23" t="s">
        <v>34</v>
      </c>
      <c r="N8" s="24" t="s">
        <v>40</v>
      </c>
      <c r="O8" s="19"/>
      <c r="P8" s="25" t="s">
        <v>30</v>
      </c>
      <c r="Q8" s="1"/>
      <c r="R8" s="26" t="s">
        <v>36</v>
      </c>
      <c r="S8" s="26" t="s">
        <v>36</v>
      </c>
      <c r="T8" s="26" t="s">
        <v>36</v>
      </c>
      <c r="U8" s="27">
        <v>1</v>
      </c>
      <c r="V8" s="27">
        <v>0.9</v>
      </c>
      <c r="W8" s="51"/>
      <c r="X8" s="29" t="s">
        <v>36</v>
      </c>
      <c r="Y8" s="29" t="s">
        <v>36</v>
      </c>
      <c r="Z8" s="29" t="s">
        <v>36</v>
      </c>
      <c r="AA8" s="30">
        <v>1</v>
      </c>
      <c r="AB8" s="30">
        <v>0.95</v>
      </c>
      <c r="AC8" s="53"/>
      <c r="AD8" s="1"/>
      <c r="AE8" s="53"/>
      <c r="AF8" s="55" t="str">
        <f t="shared" si="0"/>
        <v>---</v>
      </c>
      <c r="AG8" s="55">
        <f t="shared" si="1"/>
        <v>0</v>
      </c>
      <c r="AH8" s="55" t="str">
        <f t="shared" si="2"/>
        <v>---</v>
      </c>
      <c r="AI8" s="55">
        <f t="shared" si="3"/>
        <v>0</v>
      </c>
    </row>
    <row r="9" spans="1:35" s="3" customFormat="1" ht="16.8" x14ac:dyDescent="0.25">
      <c r="A9" s="34">
        <v>125</v>
      </c>
      <c r="B9" s="19" t="s">
        <v>28</v>
      </c>
      <c r="C9" s="64" t="s">
        <v>66</v>
      </c>
      <c r="D9" s="64"/>
      <c r="E9" s="69"/>
      <c r="F9" s="35" t="s">
        <v>41</v>
      </c>
      <c r="G9" s="21" t="s">
        <v>30</v>
      </c>
      <c r="H9" s="21" t="s">
        <v>30</v>
      </c>
      <c r="I9" s="21" t="s">
        <v>30</v>
      </c>
      <c r="J9" s="71"/>
      <c r="K9" s="22" t="s">
        <v>32</v>
      </c>
      <c r="L9" s="61" t="s">
        <v>42</v>
      </c>
      <c r="M9" s="23" t="s">
        <v>34</v>
      </c>
      <c r="N9" s="24" t="s">
        <v>43</v>
      </c>
      <c r="O9" s="36" t="s">
        <v>30</v>
      </c>
      <c r="P9" s="19"/>
      <c r="Q9" s="1"/>
      <c r="R9" s="37">
        <v>0.1</v>
      </c>
      <c r="S9" s="37">
        <v>0.1</v>
      </c>
      <c r="T9" s="37">
        <v>0.56999999999999995</v>
      </c>
      <c r="U9" s="27">
        <v>0.25</v>
      </c>
      <c r="V9" s="27">
        <v>0.25</v>
      </c>
      <c r="W9" s="27"/>
      <c r="X9" s="38">
        <v>0.25</v>
      </c>
      <c r="Y9" s="38">
        <v>0.25</v>
      </c>
      <c r="Z9" s="38"/>
      <c r="AA9" s="30">
        <v>0.1</v>
      </c>
      <c r="AB9" s="30">
        <v>0.1</v>
      </c>
      <c r="AC9" s="30"/>
      <c r="AD9" s="1"/>
      <c r="AE9" s="53"/>
      <c r="AF9" s="55">
        <f t="shared" si="0"/>
        <v>0.56999999999999995</v>
      </c>
      <c r="AG9" s="55">
        <f t="shared" si="1"/>
        <v>0</v>
      </c>
      <c r="AH9" s="55">
        <f t="shared" si="2"/>
        <v>0</v>
      </c>
      <c r="AI9" s="55">
        <f t="shared" si="3"/>
        <v>0</v>
      </c>
    </row>
    <row r="10" spans="1:35" s="3" customFormat="1" ht="16.8" x14ac:dyDescent="0.25">
      <c r="A10" s="34">
        <v>126</v>
      </c>
      <c r="B10" s="19" t="s">
        <v>28</v>
      </c>
      <c r="C10" s="64" t="s">
        <v>66</v>
      </c>
      <c r="D10" s="64"/>
      <c r="E10" s="69"/>
      <c r="F10" s="35" t="s">
        <v>44</v>
      </c>
      <c r="G10" s="21" t="s">
        <v>30</v>
      </c>
      <c r="H10" s="21" t="s">
        <v>30</v>
      </c>
      <c r="I10" s="21" t="s">
        <v>30</v>
      </c>
      <c r="J10" s="72"/>
      <c r="K10" s="22" t="s">
        <v>32</v>
      </c>
      <c r="L10" s="61" t="s">
        <v>42</v>
      </c>
      <c r="M10" s="23" t="s">
        <v>34</v>
      </c>
      <c r="N10" s="24" t="s">
        <v>45</v>
      </c>
      <c r="O10" s="36" t="s">
        <v>30</v>
      </c>
      <c r="P10" s="19"/>
      <c r="Q10" s="1"/>
      <c r="R10" s="37">
        <v>0.1</v>
      </c>
      <c r="S10" s="37">
        <v>0.1</v>
      </c>
      <c r="T10" s="59">
        <v>0.42</v>
      </c>
      <c r="U10" s="27">
        <v>0.25</v>
      </c>
      <c r="V10" s="27">
        <v>0.25</v>
      </c>
      <c r="W10" s="51"/>
      <c r="X10" s="38">
        <v>0.25</v>
      </c>
      <c r="Y10" s="38">
        <v>0.25</v>
      </c>
      <c r="Z10" s="52"/>
      <c r="AA10" s="30">
        <v>0.1</v>
      </c>
      <c r="AB10" s="30">
        <v>0.1</v>
      </c>
      <c r="AC10" s="53"/>
      <c r="AD10" s="1"/>
      <c r="AE10" s="53"/>
      <c r="AF10" s="55">
        <f t="shared" si="0"/>
        <v>0.42</v>
      </c>
      <c r="AG10" s="55">
        <f t="shared" si="1"/>
        <v>0</v>
      </c>
      <c r="AH10" s="55">
        <f t="shared" si="2"/>
        <v>0</v>
      </c>
      <c r="AI10" s="55">
        <f t="shared" si="3"/>
        <v>0</v>
      </c>
    </row>
    <row r="11" spans="1:35" s="3" customFormat="1" ht="16.8" x14ac:dyDescent="0.25">
      <c r="A11" s="34">
        <v>127</v>
      </c>
      <c r="B11" s="19" t="s">
        <v>28</v>
      </c>
      <c r="C11" s="64" t="s">
        <v>66</v>
      </c>
      <c r="D11" s="64"/>
      <c r="E11" s="69"/>
      <c r="F11" s="35" t="s">
        <v>46</v>
      </c>
      <c r="G11" s="21" t="s">
        <v>30</v>
      </c>
      <c r="H11" s="21" t="s">
        <v>30</v>
      </c>
      <c r="I11" s="21" t="s">
        <v>30</v>
      </c>
      <c r="J11" s="73" t="s">
        <v>47</v>
      </c>
      <c r="K11" s="22" t="s">
        <v>32</v>
      </c>
      <c r="L11" s="61" t="s">
        <v>42</v>
      </c>
      <c r="M11" s="23" t="s">
        <v>34</v>
      </c>
      <c r="N11" s="24" t="s">
        <v>48</v>
      </c>
      <c r="O11" s="36" t="s">
        <v>30</v>
      </c>
      <c r="P11" s="19"/>
      <c r="Q11" s="1"/>
      <c r="R11" s="26" t="s">
        <v>36</v>
      </c>
      <c r="S11" s="26" t="s">
        <v>36</v>
      </c>
      <c r="T11" s="50"/>
      <c r="U11" s="28"/>
      <c r="V11" s="28"/>
      <c r="W11" s="51"/>
      <c r="X11" s="39"/>
      <c r="Y11" s="39"/>
      <c r="Z11" s="52"/>
      <c r="AA11" s="31"/>
      <c r="AB11" s="31"/>
      <c r="AC11" s="53"/>
      <c r="AD11" s="1"/>
      <c r="AE11" s="53"/>
      <c r="AF11" s="55">
        <f t="shared" si="0"/>
        <v>0</v>
      </c>
      <c r="AG11" s="55">
        <f t="shared" si="1"/>
        <v>0</v>
      </c>
      <c r="AH11" s="55">
        <f t="shared" si="2"/>
        <v>0</v>
      </c>
      <c r="AI11" s="55">
        <f t="shared" si="3"/>
        <v>0</v>
      </c>
    </row>
    <row r="12" spans="1:35" s="3" customFormat="1" ht="16.8" x14ac:dyDescent="0.25">
      <c r="A12" s="18">
        <v>128</v>
      </c>
      <c r="B12" s="19" t="s">
        <v>28</v>
      </c>
      <c r="C12" s="63" t="s">
        <v>67</v>
      </c>
      <c r="D12" s="63"/>
      <c r="E12" s="65"/>
      <c r="F12" s="23" t="s">
        <v>49</v>
      </c>
      <c r="G12" s="21" t="s">
        <v>30</v>
      </c>
      <c r="H12" s="21" t="s">
        <v>30</v>
      </c>
      <c r="I12" s="21" t="s">
        <v>30</v>
      </c>
      <c r="J12" s="74"/>
      <c r="K12" s="22" t="s">
        <v>32</v>
      </c>
      <c r="L12" s="22" t="s">
        <v>33</v>
      </c>
      <c r="M12" s="23" t="s">
        <v>34</v>
      </c>
      <c r="N12" s="24" t="s">
        <v>50</v>
      </c>
      <c r="O12" s="19"/>
      <c r="P12" s="25" t="s">
        <v>30</v>
      </c>
      <c r="Q12" s="1"/>
      <c r="R12" s="26" t="s">
        <v>36</v>
      </c>
      <c r="S12" s="26" t="s">
        <v>36</v>
      </c>
      <c r="T12" s="26" t="s">
        <v>36</v>
      </c>
      <c r="U12" s="32" t="s">
        <v>36</v>
      </c>
      <c r="V12" s="32" t="s">
        <v>36</v>
      </c>
      <c r="W12" s="51"/>
      <c r="X12" s="29" t="s">
        <v>36</v>
      </c>
      <c r="Y12" s="29" t="s">
        <v>36</v>
      </c>
      <c r="Z12" s="29" t="s">
        <v>36</v>
      </c>
      <c r="AA12" s="31"/>
      <c r="AB12" s="31"/>
      <c r="AC12" s="53"/>
      <c r="AD12" s="1"/>
      <c r="AE12" s="53"/>
      <c r="AF12" s="55" t="str">
        <f t="shared" si="0"/>
        <v>---</v>
      </c>
      <c r="AG12" s="55">
        <f t="shared" si="1"/>
        <v>0</v>
      </c>
      <c r="AH12" s="55" t="str">
        <f t="shared" si="2"/>
        <v>---</v>
      </c>
      <c r="AI12" s="55">
        <f t="shared" si="3"/>
        <v>0</v>
      </c>
    </row>
    <row r="13" spans="1:35" s="3" customFormat="1" ht="20.100000000000001" customHeight="1" x14ac:dyDescent="0.25">
      <c r="A13" s="18">
        <v>129</v>
      </c>
      <c r="B13" s="19" t="s">
        <v>28</v>
      </c>
      <c r="C13" s="63" t="s">
        <v>67</v>
      </c>
      <c r="D13" s="63"/>
      <c r="E13" s="63"/>
      <c r="F13" s="23" t="s">
        <v>51</v>
      </c>
      <c r="G13" s="21" t="s">
        <v>30</v>
      </c>
      <c r="H13" s="21" t="s">
        <v>30</v>
      </c>
      <c r="I13" s="21" t="s">
        <v>30</v>
      </c>
      <c r="J13" s="73" t="s">
        <v>52</v>
      </c>
      <c r="K13" s="22" t="s">
        <v>32</v>
      </c>
      <c r="L13" s="22" t="s">
        <v>33</v>
      </c>
      <c r="M13" s="23" t="s">
        <v>53</v>
      </c>
      <c r="N13" s="22" t="s">
        <v>54</v>
      </c>
      <c r="O13" s="19"/>
      <c r="P13" s="25" t="s">
        <v>30</v>
      </c>
      <c r="Q13" s="1"/>
      <c r="R13" s="26" t="s">
        <v>36</v>
      </c>
      <c r="S13" s="26" t="s">
        <v>36</v>
      </c>
      <c r="T13" s="26" t="s">
        <v>36</v>
      </c>
      <c r="U13" s="27">
        <v>0.95</v>
      </c>
      <c r="V13" s="27">
        <v>0.9</v>
      </c>
      <c r="W13" s="51"/>
      <c r="X13" s="29" t="s">
        <v>36</v>
      </c>
      <c r="Y13" s="29" t="s">
        <v>36</v>
      </c>
      <c r="Z13" s="29" t="s">
        <v>36</v>
      </c>
      <c r="AA13" s="30">
        <v>0.98</v>
      </c>
      <c r="AB13" s="30">
        <v>0.95</v>
      </c>
      <c r="AC13" s="53"/>
      <c r="AD13" s="1"/>
      <c r="AE13" s="53"/>
      <c r="AF13" s="55" t="str">
        <f t="shared" si="0"/>
        <v>---</v>
      </c>
      <c r="AG13" s="55">
        <f t="shared" si="1"/>
        <v>0</v>
      </c>
      <c r="AH13" s="55" t="str">
        <f t="shared" si="2"/>
        <v>---</v>
      </c>
      <c r="AI13" s="55">
        <f t="shared" si="3"/>
        <v>0</v>
      </c>
    </row>
    <row r="14" spans="1:35" s="3" customFormat="1" ht="20.100000000000001" customHeight="1" x14ac:dyDescent="0.25">
      <c r="A14" s="18">
        <v>130</v>
      </c>
      <c r="B14" s="19" t="s">
        <v>28</v>
      </c>
      <c r="C14" s="63" t="s">
        <v>67</v>
      </c>
      <c r="D14" s="63"/>
      <c r="E14" s="63"/>
      <c r="F14" s="23" t="s">
        <v>55</v>
      </c>
      <c r="G14" s="21" t="s">
        <v>30</v>
      </c>
      <c r="H14" s="21" t="s">
        <v>30</v>
      </c>
      <c r="I14" s="21" t="s">
        <v>30</v>
      </c>
      <c r="J14" s="75"/>
      <c r="K14" s="22" t="s">
        <v>32</v>
      </c>
      <c r="L14" s="22" t="s">
        <v>33</v>
      </c>
      <c r="M14" s="23" t="s">
        <v>34</v>
      </c>
      <c r="N14" s="24" t="s">
        <v>56</v>
      </c>
      <c r="O14" s="19"/>
      <c r="P14" s="25" t="s">
        <v>30</v>
      </c>
      <c r="Q14" s="1"/>
      <c r="R14" s="26" t="s">
        <v>36</v>
      </c>
      <c r="S14" s="26" t="s">
        <v>36</v>
      </c>
      <c r="T14" s="26" t="s">
        <v>36</v>
      </c>
      <c r="U14" s="27">
        <v>0.95</v>
      </c>
      <c r="V14" s="27">
        <v>0.85</v>
      </c>
      <c r="W14" s="51"/>
      <c r="X14" s="29" t="s">
        <v>36</v>
      </c>
      <c r="Y14" s="29" t="s">
        <v>36</v>
      </c>
      <c r="Z14" s="29" t="s">
        <v>36</v>
      </c>
      <c r="AA14" s="30">
        <v>0.98</v>
      </c>
      <c r="AB14" s="30">
        <v>0.9</v>
      </c>
      <c r="AC14" s="53"/>
      <c r="AD14" s="1"/>
      <c r="AE14" s="53"/>
      <c r="AF14" s="55" t="str">
        <f t="shared" si="0"/>
        <v>---</v>
      </c>
      <c r="AG14" s="55">
        <f t="shared" si="1"/>
        <v>0</v>
      </c>
      <c r="AH14" s="55" t="str">
        <f t="shared" si="2"/>
        <v>---</v>
      </c>
      <c r="AI14" s="55">
        <f t="shared" si="3"/>
        <v>0</v>
      </c>
    </row>
    <row r="15" spans="1:35" s="3" customFormat="1" ht="20.100000000000001" customHeight="1" x14ac:dyDescent="0.25">
      <c r="A15" s="34">
        <v>131</v>
      </c>
      <c r="B15" s="19" t="s">
        <v>28</v>
      </c>
      <c r="C15" s="64" t="s">
        <v>66</v>
      </c>
      <c r="D15" s="64"/>
      <c r="E15" s="64"/>
      <c r="F15" s="40" t="s">
        <v>57</v>
      </c>
      <c r="G15" s="21" t="s">
        <v>30</v>
      </c>
      <c r="H15" s="21" t="s">
        <v>30</v>
      </c>
      <c r="I15" s="21" t="s">
        <v>30</v>
      </c>
      <c r="J15" s="75"/>
      <c r="K15" s="22" t="s">
        <v>32</v>
      </c>
      <c r="L15" s="61" t="s">
        <v>42</v>
      </c>
      <c r="M15" s="23" t="s">
        <v>34</v>
      </c>
      <c r="N15" s="24" t="s">
        <v>58</v>
      </c>
      <c r="O15" s="36" t="s">
        <v>30</v>
      </c>
      <c r="P15" s="19"/>
      <c r="Q15" s="1"/>
      <c r="R15" s="37">
        <v>0.75</v>
      </c>
      <c r="S15" s="37">
        <v>0.75</v>
      </c>
      <c r="T15" s="59">
        <f>(491-43)/491</f>
        <v>0.91242362525458254</v>
      </c>
      <c r="U15" s="27">
        <v>0.75</v>
      </c>
      <c r="V15" s="27">
        <v>0.75</v>
      </c>
      <c r="W15" s="51"/>
      <c r="X15" s="38">
        <v>0.75</v>
      </c>
      <c r="Y15" s="38">
        <v>0.75</v>
      </c>
      <c r="Z15" s="52"/>
      <c r="AA15" s="30">
        <v>0.75</v>
      </c>
      <c r="AB15" s="30">
        <v>0.75</v>
      </c>
      <c r="AC15" s="53"/>
      <c r="AD15" s="1"/>
      <c r="AE15" s="53"/>
      <c r="AF15" s="55">
        <f t="shared" si="0"/>
        <v>0.91242362525458254</v>
      </c>
      <c r="AG15" s="55">
        <f t="shared" si="1"/>
        <v>0</v>
      </c>
      <c r="AH15" s="55">
        <f t="shared" si="2"/>
        <v>0</v>
      </c>
      <c r="AI15" s="55">
        <f t="shared" si="3"/>
        <v>0</v>
      </c>
    </row>
    <row r="16" spans="1:35" s="3" customFormat="1" ht="20.100000000000001" customHeight="1" x14ac:dyDescent="0.25">
      <c r="A16" s="34">
        <v>132</v>
      </c>
      <c r="B16" s="41" t="s">
        <v>28</v>
      </c>
      <c r="C16" s="64" t="s">
        <v>66</v>
      </c>
      <c r="D16" s="42"/>
      <c r="E16" s="42"/>
      <c r="F16" s="66" t="s">
        <v>59</v>
      </c>
      <c r="G16" s="21" t="s">
        <v>30</v>
      </c>
      <c r="H16" s="21" t="s">
        <v>30</v>
      </c>
      <c r="I16" s="21" t="s">
        <v>30</v>
      </c>
      <c r="J16" s="75"/>
      <c r="K16" s="43" t="s">
        <v>60</v>
      </c>
      <c r="L16" s="61" t="s">
        <v>42</v>
      </c>
      <c r="M16" s="23" t="s">
        <v>34</v>
      </c>
      <c r="N16" s="60" t="s">
        <v>61</v>
      </c>
      <c r="O16" s="36" t="s">
        <v>30</v>
      </c>
      <c r="P16" s="19"/>
      <c r="Q16" s="1"/>
      <c r="R16" s="37">
        <v>0.01</v>
      </c>
      <c r="S16" s="37">
        <v>0.05</v>
      </c>
      <c r="T16" s="59">
        <v>0.04</v>
      </c>
      <c r="U16" s="27">
        <v>0.01</v>
      </c>
      <c r="V16" s="27">
        <v>0.02</v>
      </c>
      <c r="W16" s="51"/>
      <c r="X16" s="38">
        <v>0.01</v>
      </c>
      <c r="Y16" s="38">
        <v>0.02</v>
      </c>
      <c r="Z16" s="52"/>
      <c r="AA16" s="30">
        <v>0.01</v>
      </c>
      <c r="AB16" s="30">
        <v>0.02</v>
      </c>
      <c r="AC16" s="53"/>
      <c r="AD16" s="1"/>
      <c r="AE16" s="53"/>
      <c r="AF16" s="55">
        <f t="shared" si="0"/>
        <v>0.04</v>
      </c>
      <c r="AG16" s="55">
        <f t="shared" si="1"/>
        <v>0</v>
      </c>
      <c r="AH16" s="55">
        <f t="shared" si="2"/>
        <v>0</v>
      </c>
      <c r="AI16" s="55">
        <f t="shared" si="3"/>
        <v>0</v>
      </c>
    </row>
    <row r="17" spans="1:35" s="3" customFormat="1" ht="20.100000000000001" customHeight="1" x14ac:dyDescent="0.25">
      <c r="A17" s="34">
        <v>133</v>
      </c>
      <c r="B17" s="44" t="s">
        <v>28</v>
      </c>
      <c r="C17" s="64" t="s">
        <v>66</v>
      </c>
      <c r="D17" s="42"/>
      <c r="E17" s="42"/>
      <c r="F17" s="66" t="s">
        <v>62</v>
      </c>
      <c r="G17" s="21" t="s">
        <v>30</v>
      </c>
      <c r="H17" s="21" t="s">
        <v>30</v>
      </c>
      <c r="I17" s="21" t="s">
        <v>30</v>
      </c>
      <c r="J17" s="74"/>
      <c r="K17" s="43" t="s">
        <v>60</v>
      </c>
      <c r="L17" s="61" t="s">
        <v>42</v>
      </c>
      <c r="M17" s="23" t="s">
        <v>34</v>
      </c>
      <c r="N17" s="60" t="s">
        <v>63</v>
      </c>
      <c r="O17" s="36" t="s">
        <v>30</v>
      </c>
      <c r="P17" s="19"/>
      <c r="Q17" s="1"/>
      <c r="R17" s="37">
        <v>0.03</v>
      </c>
      <c r="S17" s="37">
        <v>0.05</v>
      </c>
      <c r="T17" s="59">
        <v>0.03</v>
      </c>
      <c r="U17" s="27">
        <v>0.03</v>
      </c>
      <c r="V17" s="27">
        <v>0.03</v>
      </c>
      <c r="W17" s="51"/>
      <c r="X17" s="38">
        <v>0.03</v>
      </c>
      <c r="Y17" s="38">
        <v>0.03</v>
      </c>
      <c r="Z17" s="52"/>
      <c r="AA17" s="30">
        <v>0.03</v>
      </c>
      <c r="AB17" s="30">
        <v>0.03</v>
      </c>
      <c r="AC17" s="53"/>
      <c r="AD17" s="1"/>
      <c r="AE17" s="53"/>
      <c r="AF17" s="55">
        <f t="shared" si="0"/>
        <v>0.03</v>
      </c>
      <c r="AG17" s="55">
        <f t="shared" si="1"/>
        <v>0</v>
      </c>
      <c r="AH17" s="55">
        <f t="shared" si="2"/>
        <v>0</v>
      </c>
      <c r="AI17" s="55">
        <f t="shared" si="3"/>
        <v>0</v>
      </c>
    </row>
    <row r="18" spans="1:35" ht="16.8" customHeight="1" x14ac:dyDescent="0.3">
      <c r="F18" s="65" t="s">
        <v>69</v>
      </c>
    </row>
    <row r="19" spans="1:35" ht="16.8" customHeight="1" x14ac:dyDescent="0.3">
      <c r="F19" s="65" t="s">
        <v>68</v>
      </c>
    </row>
    <row r="20" spans="1:35" ht="19.2" customHeight="1" x14ac:dyDescent="0.3">
      <c r="F20" s="65" t="s">
        <v>70</v>
      </c>
    </row>
    <row r="21" spans="1:35" ht="19.8" customHeight="1" x14ac:dyDescent="0.3">
      <c r="F21" s="65" t="s">
        <v>71</v>
      </c>
    </row>
    <row r="22" spans="1:35" x14ac:dyDescent="0.3">
      <c r="F22" s="65" t="s">
        <v>72</v>
      </c>
    </row>
  </sheetData>
  <autoFilter ref="A5:AC17" xr:uid="{EBF86BA2-B58B-4A2B-9365-32A11691C247}"/>
  <mergeCells count="28">
    <mergeCell ref="AE1:AE2"/>
    <mergeCell ref="AE4:AE5"/>
    <mergeCell ref="G3:P3"/>
    <mergeCell ref="R3:T3"/>
    <mergeCell ref="U3:W3"/>
    <mergeCell ref="X3:Z3"/>
    <mergeCell ref="AA3:AC3"/>
    <mergeCell ref="R4:T4"/>
    <mergeCell ref="U4:W4"/>
    <mergeCell ref="X4:Z4"/>
    <mergeCell ref="AA4:AC4"/>
    <mergeCell ref="L4:M4"/>
    <mergeCell ref="A1:B2"/>
    <mergeCell ref="F1:N2"/>
    <mergeCell ref="O1:P1"/>
    <mergeCell ref="R1:AC2"/>
    <mergeCell ref="O2:P2"/>
    <mergeCell ref="A4:A5"/>
    <mergeCell ref="B4:B5"/>
    <mergeCell ref="G4:I4"/>
    <mergeCell ref="J4:J5"/>
    <mergeCell ref="K4:K5"/>
    <mergeCell ref="C4:C5"/>
    <mergeCell ref="J6:J10"/>
    <mergeCell ref="J11:J12"/>
    <mergeCell ref="J13:J17"/>
    <mergeCell ref="N4:N5"/>
    <mergeCell ref="O4:P4"/>
  </mergeCells>
  <pageMargins left="0.7" right="0.7" top="0.75" bottom="0.75" header="0.3" footer="0.3"/>
  <pageSetup paperSize="9" orientation="landscape" r:id="rId1"/>
  <drawing r:id="rId2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markers="1" xr2:uid="{3F0CC8DD-9AF8-432B-B3E6-1775C997D354}">
          <x14:colorSeries rgb="FF32323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'منابع انسانی'!AF6:AI6</xm:f>
              <xm:sqref>AE6</xm:sqref>
            </x14:sparkline>
            <x14:sparkline>
              <xm:f>'منابع انسانی'!AF7:AI7</xm:f>
              <xm:sqref>AE7</xm:sqref>
            </x14:sparkline>
            <x14:sparkline>
              <xm:f>'منابع انسانی'!AF8:AI8</xm:f>
              <xm:sqref>AE8</xm:sqref>
            </x14:sparkline>
            <x14:sparkline>
              <xm:f>'منابع انسانی'!AF9:AI9</xm:f>
              <xm:sqref>AE9</xm:sqref>
            </x14:sparkline>
            <x14:sparkline>
              <xm:f>'منابع انسانی'!AF10:AI10</xm:f>
              <xm:sqref>AE10</xm:sqref>
            </x14:sparkline>
            <x14:sparkline>
              <xm:f>'منابع انسانی'!AF11:AI11</xm:f>
              <xm:sqref>AE11</xm:sqref>
            </x14:sparkline>
            <x14:sparkline>
              <xm:f>'منابع انسانی'!AF12:AI12</xm:f>
              <xm:sqref>AE12</xm:sqref>
            </x14:sparkline>
            <x14:sparkline>
              <xm:f>'منابع انسانی'!AF13:AI13</xm:f>
              <xm:sqref>AE13</xm:sqref>
            </x14:sparkline>
            <x14:sparkline>
              <xm:f>'منابع انسانی'!AF14:AI14</xm:f>
              <xm:sqref>AE14</xm:sqref>
            </x14:sparkline>
            <x14:sparkline>
              <xm:f>'منابع انسانی'!AF15:AI15</xm:f>
              <xm:sqref>AE15</xm:sqref>
            </x14:sparkline>
            <x14:sparkline>
              <xm:f>'منابع انسانی'!AF16:AI16</xm:f>
              <xm:sqref>AE16</xm:sqref>
            </x14:sparkline>
            <x14:sparkline>
              <xm:f>'منابع انسانی'!AF17:AI17</xm:f>
              <xm:sqref>AE17</xm:sqref>
            </x14:sparkline>
          </x14:sparklines>
        </x14:sparklineGroup>
      </x14:sparklineGroup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منابع انسانی</vt:lpstr>
      <vt:lpstr>'منابع انسانی'!Print_Area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maryam lotfi</dc:creator>
  <cp:lastModifiedBy>hadi sayar</cp:lastModifiedBy>
  <cp:lastPrinted>2025-07-12T07:07:33Z</cp:lastPrinted>
  <dcterms:created xsi:type="dcterms:W3CDTF">2025-07-08T12:01:44Z</dcterms:created>
  <dcterms:modified xsi:type="dcterms:W3CDTF">2025-11-19T11:52:36Z</dcterms:modified>
</cp:coreProperties>
</file>