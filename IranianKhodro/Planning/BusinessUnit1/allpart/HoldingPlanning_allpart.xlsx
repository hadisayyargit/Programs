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\\BI.Iraniankhodro.com\Planning\BusinessUnit\allpart\"/>
    </mc:Choice>
  </mc:AlternateContent>
  <xr:revisionPtr revIDLastSave="0" documentId="13_ncr:1_{625608EF-94AA-437C-8090-910724C63658}" xr6:coauthVersionLast="47" xr6:coauthVersionMax="47" xr10:uidLastSave="{00000000-0000-0000-0000-000000000000}"/>
  <bookViews>
    <workbookView xWindow="-108" yWindow="-108" windowWidth="23256" windowHeight="12456" firstSheet="12" activeTab="17" xr2:uid="{00000000-000D-0000-FFFF-FFFF00000000}"/>
  </bookViews>
  <sheets>
    <sheet name="راهنما" sheetId="26" r:id="rId1"/>
    <sheet name="واحد تجاری" sheetId="21" r:id="rId2"/>
    <sheet name="شاخص کلان" sheetId="16" r:id="rId3"/>
    <sheet name="کسب و کار" sheetId="22" r:id="rId4"/>
    <sheet name="شاخص کلیدی عملکرد(KPI)" sheetId="27" r:id="rId5"/>
    <sheet name="شاخص میانی" sheetId="28" r:id="rId6"/>
    <sheet name="پروژه" sheetId="24" r:id="rId7"/>
    <sheet name="برنامه" sheetId="23" r:id="rId8"/>
    <sheet name="اقدامات" sheetId="25" r:id="rId9"/>
    <sheet name="کسب و کار-شاخص" sheetId="17" r:id="rId10"/>
    <sheet name="کسب و کار - KPI" sheetId="32" r:id="rId11"/>
    <sheet name="کسب و کار-برنامه" sheetId="18" r:id="rId12"/>
    <sheet name="برنامه- اقدامات" sheetId="33" r:id="rId13"/>
    <sheet name="کسب و کار- پروژه " sheetId="20" r:id="rId14"/>
    <sheet name="پروژه - اقدامات" sheetId="34" r:id="rId15"/>
    <sheet name="ریسک_و_اقدامات" sheetId="29" r:id="rId16"/>
    <sheet name="سرمایه‌گذاری" sheetId="30" r:id="rId17"/>
    <sheet name="الزامات_و_مفروضات" sheetId="31" r:id="rId18"/>
  </sheets>
  <definedNames>
    <definedName name="_xlnm._FilterDatabase" localSheetId="8" hidden="1">اقدامات!$A$1:$B$110</definedName>
    <definedName name="_xlnm._FilterDatabase" localSheetId="7" hidden="1">برنامه!$A$1:$B$97</definedName>
    <definedName name="_xlnm._FilterDatabase" localSheetId="12" hidden="1">'برنامه- اقدامات'!$A$1:$I$60</definedName>
    <definedName name="_xlnm._FilterDatabase" localSheetId="6" hidden="1">پروژه!$A$1:$B$48</definedName>
    <definedName name="_xlnm._FilterDatabase" localSheetId="2" hidden="1">'شاخص کلان'!$A$1:$A$9</definedName>
    <definedName name="_xlnm._FilterDatabase" localSheetId="3" hidden="1">'کسب و کار'!$A$1:$B$30</definedName>
    <definedName name="_xlnm._FilterDatabase" localSheetId="13" hidden="1">'کسب و کار- پروژه '!$B$1:$C$40</definedName>
    <definedName name="_xlnm._FilterDatabase" localSheetId="11" hidden="1">'کسب و کار-برنامه'!$B$1:$G$64</definedName>
    <definedName name="_xlnm._FilterDatabase" localSheetId="9" hidden="1">'کسب و کار-شاخص'!$B$1:$E$85</definedName>
    <definedName name="_xlnm._FilterDatabase" localSheetId="10" hidden="1">'کسب و کار - KPI'!$B$1:$M$28</definedName>
    <definedName name="_xlnm._FilterDatabase" localSheetId="1" hidden="1">'واحد تجاری'!$A$1:$A$1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4" i="18" l="1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H7" i="20"/>
  <c r="H6" i="20"/>
  <c r="H5" i="20"/>
  <c r="H4" i="20"/>
  <c r="H3" i="20"/>
  <c r="H2" i="20"/>
  <c r="J63" i="18"/>
  <c r="J62" i="18"/>
  <c r="J61" i="18"/>
  <c r="J60" i="18"/>
  <c r="J59" i="18"/>
  <c r="J58" i="18"/>
  <c r="J57" i="18"/>
  <c r="J56" i="18"/>
  <c r="J55" i="18"/>
  <c r="J54" i="18"/>
  <c r="J53" i="18"/>
  <c r="J52" i="18"/>
  <c r="J51" i="18"/>
  <c r="J50" i="18"/>
  <c r="J49" i="18"/>
  <c r="J48" i="18"/>
  <c r="J47" i="18"/>
  <c r="J46" i="18"/>
  <c r="J45" i="18"/>
  <c r="J44" i="18"/>
  <c r="J43" i="18"/>
  <c r="J42" i="18"/>
  <c r="J41" i="18"/>
  <c r="J40" i="18"/>
  <c r="J39" i="18"/>
  <c r="J38" i="18"/>
  <c r="J37" i="18"/>
  <c r="J36" i="18"/>
  <c r="J35" i="18"/>
  <c r="J34" i="18"/>
  <c r="J33" i="18"/>
  <c r="J32" i="18"/>
  <c r="J31" i="18"/>
  <c r="J30" i="18"/>
  <c r="J29" i="18"/>
  <c r="J28" i="18"/>
  <c r="J27" i="18"/>
  <c r="J26" i="18"/>
  <c r="J25" i="18"/>
  <c r="J24" i="18"/>
  <c r="J23" i="18"/>
  <c r="J22" i="18"/>
  <c r="J21" i="18"/>
  <c r="J20" i="18"/>
  <c r="J19" i="18"/>
  <c r="J18" i="18"/>
  <c r="J17" i="18"/>
  <c r="J16" i="18"/>
  <c r="J15" i="18"/>
  <c r="J14" i="18"/>
  <c r="J13" i="18"/>
  <c r="J12" i="18"/>
  <c r="J11" i="18"/>
  <c r="J10" i="18"/>
  <c r="J9" i="18"/>
  <c r="J8" i="18"/>
  <c r="J7" i="18"/>
  <c r="J6" i="18"/>
  <c r="J5" i="18"/>
  <c r="J4" i="18"/>
  <c r="J3" i="18"/>
  <c r="J2" i="18"/>
  <c r="K28" i="32"/>
  <c r="K27" i="32"/>
  <c r="K26" i="32"/>
  <c r="K25" i="32"/>
  <c r="K24" i="32"/>
  <c r="K23" i="32"/>
  <c r="K22" i="32"/>
  <c r="K21" i="32"/>
  <c r="K20" i="32"/>
  <c r="K19" i="32"/>
  <c r="K18" i="32"/>
  <c r="K17" i="32"/>
  <c r="K16" i="32"/>
  <c r="K15" i="32"/>
  <c r="K14" i="32"/>
  <c r="K13" i="32"/>
  <c r="K12" i="32"/>
  <c r="K11" i="32"/>
  <c r="K10" i="32"/>
  <c r="K9" i="32"/>
  <c r="K8" i="32"/>
  <c r="K7" i="32"/>
  <c r="K6" i="32"/>
  <c r="K5" i="32"/>
  <c r="K4" i="32"/>
  <c r="K3" i="32"/>
  <c r="K2" i="32"/>
</calcChain>
</file>

<file path=xl/sharedStrings.xml><?xml version="1.0" encoding="utf-8"?>
<sst xmlns="http://schemas.openxmlformats.org/spreadsheetml/2006/main" count="1957" uniqueCount="312">
  <si>
    <t>هزینه</t>
  </si>
  <si>
    <t>برنامه</t>
  </si>
  <si>
    <t>پروژه</t>
  </si>
  <si>
    <t>سود ناخالص</t>
  </si>
  <si>
    <t>نام واحد تجاری</t>
  </si>
  <si>
    <t>هدف</t>
  </si>
  <si>
    <t>آل پارت</t>
  </si>
  <si>
    <t>کسب و کار</t>
  </si>
  <si>
    <t>اقدامات</t>
  </si>
  <si>
    <t>فروش تعدادی</t>
  </si>
  <si>
    <t>شناسه</t>
  </si>
  <si>
    <t>فروش کل</t>
  </si>
  <si>
    <t>بهای تمام شده</t>
  </si>
  <si>
    <t>رضایت ذینفعان</t>
  </si>
  <si>
    <t>پیشرفت پروژه‌ها</t>
  </si>
  <si>
    <t>پیشرفت برنامه‌ها</t>
  </si>
  <si>
    <t>موضوع</t>
  </si>
  <si>
    <t>راهنما</t>
  </si>
  <si>
    <t>واحد مالی</t>
  </si>
  <si>
    <t>ورودی عملکرد</t>
  </si>
  <si>
    <t>دوره</t>
  </si>
  <si>
    <t>درصدها</t>
  </si>
  <si>
    <t>فیلد خالی</t>
  </si>
  <si>
    <t>ایجاد منابع و منابع موردنیاز</t>
  </si>
  <si>
    <t>سرمایه‌گذاری از محل منابع موجود</t>
  </si>
  <si>
    <t>allpart</t>
  </si>
  <si>
    <t xml:space="preserve"> شاخص کلان</t>
  </si>
  <si>
    <t>کد کسب و کار</t>
  </si>
  <si>
    <t>مسیر/راه</t>
  </si>
  <si>
    <t>جریان درآمدی / Business Model</t>
  </si>
  <si>
    <t>مزیت رقابتی / وجه تمایز</t>
  </si>
  <si>
    <t>ارزش محوری</t>
  </si>
  <si>
    <t>شناسه پروژه</t>
  </si>
  <si>
    <t>شناسه برنامه</t>
  </si>
  <si>
    <t>سال</t>
  </si>
  <si>
    <t>ماه</t>
  </si>
  <si>
    <t>درآمد-هدف</t>
  </si>
  <si>
    <t>درآمد-عملکرد</t>
  </si>
  <si>
    <t>بهای تمام شده-هدف</t>
  </si>
  <si>
    <t>بهای تمام شده-عملکرد</t>
  </si>
  <si>
    <t>سود ناخالص-هدف</t>
  </si>
  <si>
    <t>سود ناخالص-عملکرد</t>
  </si>
  <si>
    <t>هزینه-هدف</t>
  </si>
  <si>
    <t>هزینه-عملکرد</t>
  </si>
  <si>
    <t>فروش تعدادی-هدف</t>
  </si>
  <si>
    <t>فروش تعدادی-عملکرد</t>
  </si>
  <si>
    <t>ایجاد منابع-هدف</t>
  </si>
  <si>
    <t>ایجاد منابع-عملکرد</t>
  </si>
  <si>
    <t>منابع موردنیاز-هدف</t>
  </si>
  <si>
    <t>منابع موردنیاز-عملکرد</t>
  </si>
  <si>
    <t xml:space="preserve">رضایت مشتری-هدف </t>
  </si>
  <si>
    <t>رضایت مشتری-عملکرد</t>
  </si>
  <si>
    <t>تعداد پاسخ رضایت</t>
  </si>
  <si>
    <t>توضیحات</t>
  </si>
  <si>
    <t>عنوان KPI</t>
  </si>
  <si>
    <t>شناسه KPI</t>
  </si>
  <si>
    <t>واحد</t>
  </si>
  <si>
    <t>جهت مطلوب</t>
  </si>
  <si>
    <t>روش تجمیع</t>
  </si>
  <si>
    <t>هدف دوره</t>
  </si>
  <si>
    <t>عملکرد دوره</t>
  </si>
  <si>
    <t>درصد تحقق</t>
  </si>
  <si>
    <t>تعداد نمونه/وزن تجمیع</t>
  </si>
  <si>
    <t>عنوان شاخص میانی</t>
  </si>
  <si>
    <t>شناسه شاخص میانی</t>
  </si>
  <si>
    <t>شناسه اقدامات</t>
  </si>
  <si>
    <t>واحد تجاری</t>
  </si>
  <si>
    <t>وضعیت عملکرد</t>
  </si>
  <si>
    <t>شاخص برنامه</t>
  </si>
  <si>
    <t>اقدام برنامه‌ریزی‌شده</t>
  </si>
  <si>
    <t>وضعیت عملکرد اقدام</t>
  </si>
  <si>
    <t>درصد پیشرفت اقدام</t>
  </si>
  <si>
    <t>شرح عملکرد/مستندات</t>
  </si>
  <si>
    <t>پیشرفت برنامه‌ای (%)</t>
  </si>
  <si>
    <t>پیشرفت واقعی (%)</t>
  </si>
  <si>
    <t>انحراف پیشرفت</t>
  </si>
  <si>
    <t>وضعیت پروژه</t>
  </si>
  <si>
    <t>روز تأخیر</t>
  </si>
  <si>
    <t>علت انحراف/توضیحات</t>
  </si>
  <si>
    <t>نوع مورد</t>
  </si>
  <si>
    <t>شرح ریسک/مسئله</t>
  </si>
  <si>
    <t>سطح اهمیت</t>
  </si>
  <si>
    <t>مسئول</t>
  </si>
  <si>
    <t>تاریخ سررسید</t>
  </si>
  <si>
    <t>وضعیت</t>
  </si>
  <si>
    <t>عنوان سرمایه‌گذاری</t>
  </si>
  <si>
    <t>منبع سرمایه‌گذاری</t>
  </si>
  <si>
    <t>مبلغ تخصیص‌یافته عملکرد</t>
  </si>
  <si>
    <t>مقصد سرمایه‌گذاری</t>
  </si>
  <si>
    <t>شرکت مقصد</t>
  </si>
  <si>
    <t>درآمد/بازده عملکرد دوره</t>
  </si>
  <si>
    <t>سود/زیان عملکرد دوره</t>
  </si>
  <si>
    <t>شناسه سرمایه‌گذاری</t>
  </si>
  <si>
    <t>نوع</t>
  </si>
  <si>
    <t>شرح</t>
  </si>
  <si>
    <t>کسب‌وکار (در صورت ارتباط)</t>
  </si>
  <si>
    <t xml:space="preserve"> کسب‌وکار</t>
  </si>
  <si>
    <t xml:space="preserve"> KPI</t>
  </si>
  <si>
    <t>اقدام اصلاحی/کنترلی</t>
  </si>
  <si>
    <t>فروش از طریق شبکه فروشگاههای مجاز آل پارت و فروش مستقیم به خودرو سازان</t>
  </si>
  <si>
    <t>allpart_B1</t>
  </si>
  <si>
    <t>جذب نیروی انسانی متبحر، تهیه استاندارد شبکه، شناسایی فروشگاه‌ها در سطح ایران، ارزیابی و جذب آنها</t>
  </si>
  <si>
    <t>فروش قطعات یدکی انبار مرکزی آل پارت (تامین از واردات، منابع داخلی، تولیدکنندگان و اخذ فروشگاه مجاز) به شبکه فروشگاه‌های مجاز</t>
  </si>
  <si>
    <t>ایجاد شبکه فروشگاه‌های مجاز مولتی برند و همکاری در فروش با استفاده از شبکه مارکت پلیس</t>
  </si>
  <si>
    <t>صداقت، کیفیت، مطلوبیت، فراوانی، قیمت مناسب و ارائه روش‌های تامین بودجه متفاوت از طریق سیستم‌های لیزینگ گروه</t>
  </si>
  <si>
    <t>فروش از طریق تعمیرگاههای غیر رسمی به مشتریان نهائی (B2W2C)</t>
  </si>
  <si>
    <t>allpart_B2</t>
  </si>
  <si>
    <t>طراحی نرم افزار خاص، جذب بازاریاب جهت شناسایی، پرزنت و جذب تعمیرگاه‌ها، تشکیل همایش فصلی جهت ایجاد انگیزه در همکاری</t>
  </si>
  <si>
    <t>فروش قطعات یدکی انبار مرکزی آل پارت به مشتری نهایی از طریق تعمیرگاه‌های غیرمجاز با استعلام از سامانه</t>
  </si>
  <si>
    <t>پرداخت آنلاین سهم تعمیرگاه، مشاوره فنی، سرعت ارسال، ضمانت گارانتی پس از نصب و قابلیت پرداخت اقساطی هزینه تعمیرات</t>
  </si>
  <si>
    <t>صداقت، کیفیت، مطلوبیت، فراوانی، قیمت مناسب</t>
  </si>
  <si>
    <t>فروش از طریق اینترنت به مشتری نهائی (B2C)</t>
  </si>
  <si>
    <t>allpart_B3</t>
  </si>
  <si>
    <t>مرور نرم افزار مدیران پارت، اخذ مجوزهای لازم، ثبت اطلاعات گروه خودرو مدیران خودرو و فروش موجودی انبار مرکزی آل پارت در سامانه</t>
  </si>
  <si>
    <t>فروش قطعات یدکی انبار مرکزی آل پارت در سامانه فروش اینترنتی</t>
  </si>
  <si>
    <t>مشاوره فنی برای شناسایی صحیح شماره فنی، ارسال چابک، امکان برگشت از فروش و ضمانت گارانتی</t>
  </si>
  <si>
    <t>صداقت، کیفیت، قیمت مناسب و مسئولیت‌پذیری</t>
  </si>
  <si>
    <t>ارائه سرویس مدیریت کسب و کار قطعات یدکی به خودروسازان و نمایندگیهای مجاز</t>
  </si>
  <si>
    <t>allpart_B4</t>
  </si>
  <si>
    <t>طراحی فرآیند و نرم افزار استاندارد مدیریت کسب و کار قطعات یدکی براساس بهترین الگوها، بازاریابی و توسعه شبکه خدمت</t>
  </si>
  <si>
    <t>مبلغ ثابت ماهانه به ازای هر خودروساز و نمایندگی مجاز</t>
  </si>
  <si>
    <t>ایجاد گردش کالا در انبار، افزایش نرخ تامین قطعه در زمان نیاز و کاهش قطعات کندگردش و راکد در انبار</t>
  </si>
  <si>
    <t>صداقت، محرمانگی اطلاعات، پاسخگویی سریع و مناسب</t>
  </si>
  <si>
    <t>ارائه سرویس مارکت پلیس قطعات یدکی</t>
  </si>
  <si>
    <t>allpart_B5</t>
  </si>
  <si>
    <t>طراحی و نهایی‌سازی کسب‌وکار با مشاوره افراد خبره، طراحی نرم افزار و راه‌اندازی تستی برای آل پارت، تعمیرگاه 777 و شرکت جیران</t>
  </si>
  <si>
    <t>درصد کمیسیون توافق‌شده با فروشگاه‌های مجازی؛ حدود 2% قیمت فروش و توافقی برای قطعات راکد و کندگردش</t>
  </si>
  <si>
    <t>مرکز تماس پاسخگو، مشاوره فنی، ضمانت گارانتی و ارسال سریع و چابک</t>
  </si>
  <si>
    <t>ارائه سرویس قطعه یاب</t>
  </si>
  <si>
    <t>allpart_B6</t>
  </si>
  <si>
    <t>طراحی و نهایی‌سازی کسب‌وکار، طراحی نرم افزار و راه‌اندازی تستی با کمک تعمیرگاه‌های B2W2C و سپس تبلیغات گسترده</t>
  </si>
  <si>
    <t>کمیسیون مشتری معرفی‌شده به فروشگاه/تعمیرگاه، مبلغ ثابت به ازای سرویس یا درصدی از قیمت قطعه</t>
  </si>
  <si>
    <t>همکاری تعمیرگاه‌های غیرمجاز در کسب‌وکار B2W2C و کسب‌وکار مارکت پلیس</t>
  </si>
  <si>
    <t>allpart_B7</t>
  </si>
  <si>
    <t>شناسایی و ارزیابی فرصت‌های سرمایه‌گذاری مصوب برای به‌کارگیری منابع مازاد شرکت در داخل شرکت، سایر شرکت‌های هلدینگ یا سایر فرصت‌های مصوب.</t>
  </si>
  <si>
    <t>بازده و عایدی حاصل از سرمایه‌گذاری منابع موجود شرکت.</t>
  </si>
  <si>
    <t>استفاده هدفمند از منابع مازاد و امکان هم‌افزایی با ظرفیت‌ها و فرصت‌های سرمایه‌گذاری هلدینگ.</t>
  </si>
  <si>
    <t>حفظ و افزایش ارزش منابع، تخصیص بهینه سرمایه و بازدهی مناسب.</t>
  </si>
  <si>
    <t>رضایت مشتری/ذی‌نفعان</t>
  </si>
  <si>
    <t>allpart_B1-SAT</t>
  </si>
  <si>
    <t>درصد</t>
  </si>
  <si>
    <t>درصد پیشرفت</t>
  </si>
  <si>
    <t>B1A1-S1</t>
  </si>
  <si>
    <t>تعداد فروشگاه</t>
  </si>
  <si>
    <t>B3A1-P</t>
  </si>
  <si>
    <t>عدد</t>
  </si>
  <si>
    <t>راه اندازی فرآیند واردات قطعات یدکی تند مصرف گروه خودروی مدیران خودرو از چین</t>
  </si>
  <si>
    <t>B1P1</t>
  </si>
  <si>
    <t>ایجاد کسب و کار B2W2C</t>
  </si>
  <si>
    <t>B2P1</t>
  </si>
  <si>
    <t>ایجاد کسب و کار مارکت پلیس</t>
  </si>
  <si>
    <t>B5P1</t>
  </si>
  <si>
    <t>ایجاد کسب وکار قطعه یاب</t>
  </si>
  <si>
    <t>B6P1</t>
  </si>
  <si>
    <t>تهیه استاندارد، تفاهم نامه و برنامه توسعه شبکه مجاز</t>
  </si>
  <si>
    <t>B1A1</t>
  </si>
  <si>
    <t>ارتقاء و توسعه نرم افزار SCM</t>
  </si>
  <si>
    <t>B1A2</t>
  </si>
  <si>
    <t>ایجاد انبار مرکزی قطعات یدکی</t>
  </si>
  <si>
    <t>B1A3</t>
  </si>
  <si>
    <t>اخذ نمایندگی از خودرو سازان</t>
  </si>
  <si>
    <t>B1A4</t>
  </si>
  <si>
    <t>راه اندازی فرآیند تامین از منابع داخلی</t>
  </si>
  <si>
    <t>B1A5</t>
  </si>
  <si>
    <t>راه اندازی نرم افزار فروش اینترنتی (B2C)</t>
  </si>
  <si>
    <t>B3A1</t>
  </si>
  <si>
    <t>راه اندازی مرکز تماس و واحد CRM</t>
  </si>
  <si>
    <t>B3A2</t>
  </si>
  <si>
    <t>توسعه ارائه سرویس مدیریت کسب و کار قطعات یدکی (برنامه ریزی تامین)</t>
  </si>
  <si>
    <t>B4A1</t>
  </si>
  <si>
    <t>پروژه/برنامه</t>
  </si>
  <si>
    <t>جذب نیروی شبکه</t>
  </si>
  <si>
    <t>allpart_a1</t>
  </si>
  <si>
    <t>تهیه استاندارد شبکه، تفاهم نامه و مدل ارزیابی، تهیه برنامه توسعه شبکه</t>
  </si>
  <si>
    <t>شناسایی فروشگاه‌های بالقوه</t>
  </si>
  <si>
    <t>تشکیل کمیسیون اعطاء و جذب</t>
  </si>
  <si>
    <t>تست، ارتقاء و راه‌اندازی مهندسی کدینگ کالا؛ اعلام نیاز سیستم تامین</t>
  </si>
  <si>
    <t>تست و راه‌اندازی سیستم تامین و حسابداری تامین؛ اعلام نیاز سیستم فروش</t>
  </si>
  <si>
    <t>تست و راه‌اندازی سیستم فروش و حسابداری فروش</t>
  </si>
  <si>
    <t>تست و راه‌اندازی سیستم انبار و قیمت تمام شده</t>
  </si>
  <si>
    <t>تست عملیات مهم کاردکس انبار</t>
  </si>
  <si>
    <t>سیستم تحقیقات بازار</t>
  </si>
  <si>
    <t>سیستم مهندسی کیفیت</t>
  </si>
  <si>
    <t>محاسبه فضای مورد نیاز</t>
  </si>
  <si>
    <t>اجاره و تجهیز انبار</t>
  </si>
  <si>
    <t>مذاکرات اولیه: مدیران خودرو، ایساکو، سایپا یدک</t>
  </si>
  <si>
    <t>عقد قرارداد: مدیران خودرو، ایساکو، سایپا یدک</t>
  </si>
  <si>
    <t>خرید اولیه و راه‌اندازی</t>
  </si>
  <si>
    <t>خرید و راه فروش</t>
  </si>
  <si>
    <t>شناسایی منابع مهم داخلی (اعظام، کروز، اتحاد موتور و ...)</t>
  </si>
  <si>
    <t>مذاکره و عقد قرارداد</t>
  </si>
  <si>
    <t>خرید و فروش</t>
  </si>
  <si>
    <t>بررسی سیستم و اخذ مجوزهای لازم</t>
  </si>
  <si>
    <t>راه‌اندازی فروشگاه 777</t>
  </si>
  <si>
    <t>خرید و فروش در فروشگاه 777 با کمیسیون 5%</t>
  </si>
  <si>
    <t>راه‌اندازی فروشگاه آل پارت</t>
  </si>
  <si>
    <t>جذب کارشناس مرکز تماس؛ طراحی فرآیند؛ اعلام نیازهای سیستمی</t>
  </si>
  <si>
    <t>ایجاد و تجهیز مرکز تماس</t>
  </si>
  <si>
    <t>راه‌اندازی مرکز برای فروش B2C</t>
  </si>
  <si>
    <t>راه‌اندازی مرکز برای B2W2C و قطعه یاب</t>
  </si>
  <si>
    <t>طراحی فرآیند استاندارد؛ اعلام نیاز سیستمی</t>
  </si>
  <si>
    <t>جذب کارشناس برنامه‌ریزی</t>
  </si>
  <si>
    <t>طبقه‌بندی اطلاعات مورد نیاز</t>
  </si>
  <si>
    <t>تحویل سیستم و تست در 777</t>
  </si>
  <si>
    <t>توسعه شبکه خودروساز و نمایندگی‌ها</t>
  </si>
  <si>
    <t>تهیه مدل کسب وکار واردات از چین</t>
  </si>
  <si>
    <t>تهیه سفارش اولیه حدود 500 هزار دلار؛ منبع‌یابی، نهایی‌سازی سفارش و تامین بودجه</t>
  </si>
  <si>
    <t>شناسایی قطعات تندمصرف؛ ایجاد دفتر چین برای منبع‌یابی، تامین، کنترل کیفیت و ارسال</t>
  </si>
  <si>
    <t>سفارش‌گذاری به ارزش 500 هزار دلار</t>
  </si>
  <si>
    <t>تهیه مدل کسب و کار</t>
  </si>
  <si>
    <t>نهایی‌سازی مدل کسب و کار؛ طراحی سیستم</t>
  </si>
  <si>
    <t>تهیه تفاهم نامه تجاری و مدل ارزیابی؛ برنامه‌نویسی</t>
  </si>
  <si>
    <t>شناسایی تعمیرگاه‌های غیرمجاز؛ برنامه‌نویسی</t>
  </si>
  <si>
    <t>اولویت‌بندی؛ برنامه‌نویسی؛ تست سیستم</t>
  </si>
  <si>
    <t>مذاکره و امضاء تفاهم نامه و قرارداد؛ برنامه‌نویسی و تست</t>
  </si>
  <si>
    <t>توسعه شبکه و فروش؛ راه‌اندازی سیستم</t>
  </si>
  <si>
    <t>تهیه تفاهم نامه تجاری و مدل ارزیابی؛ اعلام نیاز سیستمی</t>
  </si>
  <si>
    <t>تحویل و تست سیستم</t>
  </si>
  <si>
    <t>راه‌اندازی و ارتقا؛ مذاکره با نمایندگی‌ها و عقد قرارداد</t>
  </si>
  <si>
    <t>ارتقا سیستم؛ مذاکره و عقد قرارداد</t>
  </si>
  <si>
    <t>تهیه و نهایی‌سازی مدل کسب و کار؛ طراحی سیستم</t>
  </si>
  <si>
    <t>راه‌اندازی سیستم برای B2W2C</t>
  </si>
  <si>
    <t>ارتقا سیستم؛ راه‌اندازی برای B2W2C</t>
  </si>
  <si>
    <t xml:space="preserve">فروردین </t>
  </si>
  <si>
    <t xml:space="preserve">اردیبهشت </t>
  </si>
  <si>
    <t xml:space="preserve">خرداد </t>
  </si>
  <si>
    <t xml:space="preserve">تیر </t>
  </si>
  <si>
    <t xml:space="preserve">مرداد </t>
  </si>
  <si>
    <t xml:space="preserve">شهریور </t>
  </si>
  <si>
    <t xml:space="preserve">مهر </t>
  </si>
  <si>
    <t xml:space="preserve">آبان </t>
  </si>
  <si>
    <t xml:space="preserve">آذر </t>
  </si>
  <si>
    <t xml:space="preserve">دی </t>
  </si>
  <si>
    <t xml:space="preserve">بهمن </t>
  </si>
  <si>
    <t>اسفند</t>
  </si>
  <si>
    <t>در فایل مبنای آل پارت هدف عددی دوره‌ای برای این کسب‌وکار تعریف نشده است.</t>
  </si>
  <si>
    <t>بیشتر بهتر</t>
  </si>
  <si>
    <t>میانگین وزنی</t>
  </si>
  <si>
    <t>مهر</t>
  </si>
  <si>
    <t>برگرفته از شاخص رضایت ذی‌نفعان فایل آل پارت</t>
  </si>
  <si>
    <t>آبان</t>
  </si>
  <si>
    <t>آذر</t>
  </si>
  <si>
    <t>دی</t>
  </si>
  <si>
    <t>بهمن</t>
  </si>
  <si>
    <t>فروش از طریق تعمیرگاههای غیر مجاز به مشتریان نهائی (B2W2C)</t>
  </si>
  <si>
    <t>فروردین</t>
  </si>
  <si>
    <t>اردیبهشت</t>
  </si>
  <si>
    <t>خرداد</t>
  </si>
  <si>
    <t>تیر</t>
  </si>
  <si>
    <t>مرداد</t>
  </si>
  <si>
    <t>شهریور</t>
  </si>
  <si>
    <t>ریسک۱</t>
  </si>
  <si>
    <t>INV-RES</t>
  </si>
  <si>
    <t>الزام</t>
  </si>
  <si>
    <t>ایجاد ساختار سازمانی شرکت آل پارت (تا مرداد ماه)</t>
  </si>
  <si>
    <t>تامین بودجه مورد نیاز به مبلغ 921 میلیارد تومان</t>
  </si>
  <si>
    <t>راه اندازی به‌موقع نرم افزار با بودجه 12 میلیارد تومان</t>
  </si>
  <si>
    <t>جذب نیروی انسانی مورد نیاز حداقل 18 نفر با بودجه 20 میلیارد تومان</t>
  </si>
  <si>
    <t>تامین بودجه برای تجهیز انبار به مبلغ 30 میلیارد تومان</t>
  </si>
  <si>
    <t>شرکت در نمایشگاه‌های معتبر و ماموریت متعدد به چین</t>
  </si>
  <si>
    <t>مفروضه</t>
  </si>
  <si>
    <t>دلار در تمام محاسبات 170 هزار تومان در نظر گرفته شده است</t>
  </si>
  <si>
    <t>allpart_a2</t>
  </si>
  <si>
    <t>allpart_a3</t>
  </si>
  <si>
    <t>allpart_a4</t>
  </si>
  <si>
    <t>allpart_a5</t>
  </si>
  <si>
    <t>allpart_a6</t>
  </si>
  <si>
    <t>allpart_a7</t>
  </si>
  <si>
    <t>allpart_a8</t>
  </si>
  <si>
    <t>allpart_a9</t>
  </si>
  <si>
    <t>allpart_a10</t>
  </si>
  <si>
    <t>allpart_a11</t>
  </si>
  <si>
    <t>allpart_a12</t>
  </si>
  <si>
    <t>allpart_a13</t>
  </si>
  <si>
    <t>allpart_a14</t>
  </si>
  <si>
    <t>allpart_a15</t>
  </si>
  <si>
    <t>allpart_a16</t>
  </si>
  <si>
    <t>allpart_a17</t>
  </si>
  <si>
    <t>allpart_a18</t>
  </si>
  <si>
    <t>allpart_a19</t>
  </si>
  <si>
    <t>allpart_a20</t>
  </si>
  <si>
    <t>allpart_a21</t>
  </si>
  <si>
    <t>allpart_a22</t>
  </si>
  <si>
    <t>allpart_a23</t>
  </si>
  <si>
    <t>allpart_a24</t>
  </si>
  <si>
    <t>allpart_a25</t>
  </si>
  <si>
    <t>allpart_a26</t>
  </si>
  <si>
    <t>allpart_a27</t>
  </si>
  <si>
    <t>allpart_a28</t>
  </si>
  <si>
    <t>allpart_a29</t>
  </si>
  <si>
    <t>allpart_a30</t>
  </si>
  <si>
    <t>allpart_a31</t>
  </si>
  <si>
    <t>allpart_a32</t>
  </si>
  <si>
    <t>allpart_a33</t>
  </si>
  <si>
    <t>allpart_a34</t>
  </si>
  <si>
    <t>allpart_a35</t>
  </si>
  <si>
    <t>allpart_a36</t>
  </si>
  <si>
    <t>allpart_a37</t>
  </si>
  <si>
    <t>allpart_a38</t>
  </si>
  <si>
    <t>allpart_a39</t>
  </si>
  <si>
    <t>allpart_a40</t>
  </si>
  <si>
    <t>allpart_a41</t>
  </si>
  <si>
    <t>allpart_a42</t>
  </si>
  <si>
    <t>allpart_a43</t>
  </si>
  <si>
    <t>allpart_a44</t>
  </si>
  <si>
    <t>allpart_a45</t>
  </si>
  <si>
    <t>allpart_a46</t>
  </si>
  <si>
    <t>allpart_a47</t>
  </si>
  <si>
    <t>allpart_a48</t>
  </si>
  <si>
    <t>allpart_a49</t>
  </si>
  <si>
    <t>allpart_a50</t>
  </si>
  <si>
    <t>allpart_a51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</si>
</sst>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000401]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0"/>
      <color rgb="FFFFFFFF"/>
      <name val="Carlito"/>
    </font>
    <font>
      <sz val="9"/>
      <name val="Carlito"/>
    </font>
    <font>
      <b/>
      <sz val="10"/>
      <color rgb="FFFFFFFF"/>
      <name val="B Nazanin"/>
      <charset val="178"/>
    </font>
    <font>
      <sz val="11"/>
      <color theme="1"/>
      <name val="B Nazanin"/>
      <charset val="178"/>
    </font>
    <font>
      <b/>
      <sz val="11"/>
      <color theme="0"/>
      <name val="B Nazanin"/>
      <charset val="178"/>
    </font>
    <font>
      <b/>
      <sz val="9"/>
      <name val="Carlito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0B2D4D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2CC"/>
      </patternFill>
    </fill>
    <fill>
      <patternFill patternType="solid">
        <fgColor rgb="FFFFF2CC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2" fontId="0" fillId="0" borderId="1" xfId="0" applyNumberFormat="1" applyBorder="1"/>
    <xf numFmtId="2" fontId="0" fillId="0" borderId="0" xfId="0" applyNumberFormat="1" applyAlignment="1">
      <alignment vertical="center"/>
    </xf>
    <xf numFmtId="0" fontId="0" fillId="0" borderId="2" xfId="0" applyBorder="1" applyAlignment="1">
      <alignment vertical="center"/>
    </xf>
    <xf numFmtId="0" fontId="0" fillId="0" borderId="7" xfId="0" applyBorder="1" applyAlignment="1">
      <alignment vertical="center"/>
    </xf>
    <xf numFmtId="2" fontId="0" fillId="0" borderId="0" xfId="0" applyNumberFormat="1" applyAlignment="1">
      <alignment horizontal="center" vertical="center"/>
    </xf>
    <xf numFmtId="164" fontId="0" fillId="0" borderId="5" xfId="0" applyNumberFormat="1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0" borderId="7" xfId="0" applyNumberFormat="1" applyBorder="1" applyAlignment="1">
      <alignment vertical="center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2" borderId="8" xfId="0" applyFont="1" applyFill="1" applyBorder="1" applyAlignment="1">
      <alignment vertical="center"/>
    </xf>
    <xf numFmtId="0" fontId="6" fillId="2" borderId="11" xfId="0" applyFont="1" applyFill="1" applyBorder="1" applyAlignment="1">
      <alignment vertical="center"/>
    </xf>
    <xf numFmtId="0" fontId="4" fillId="4" borderId="0" xfId="0" applyFont="1" applyFill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2" fontId="0" fillId="0" borderId="7" xfId="0" applyNumberFormat="1" applyBorder="1"/>
    <xf numFmtId="0" fontId="0" fillId="0" borderId="7" xfId="0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5" borderId="0" xfId="0" applyFont="1" applyFill="1" applyAlignment="1">
      <alignment horizontal="center" vertical="center" wrapText="1"/>
    </xf>
    <xf numFmtId="164" fontId="0" fillId="0" borderId="1" xfId="0" applyNumberFormat="1" applyBorder="1" applyAlignment="1">
      <alignment vertical="center" wrapText="1"/>
    </xf>
    <xf numFmtId="0" fontId="0" fillId="0" borderId="7" xfId="0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2" fontId="3" fillId="0" borderId="7" xfId="0" applyNumberFormat="1" applyFont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</cellXfs>
  <cellStyles count="2">
    <cellStyle name="Normal" xfId="0" builtinId="0"/>
    <cellStyle name="Normal 2" xfId="1" xr:uid="{7489E0D2-AD1D-4B03-B07C-65903ABCFCAF}"/>
  </cellStyles>
  <dxfs count="1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B42318"/>
      </font>
      <fill>
        <patternFill>
          <bgColor rgb="FFFDE2E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9"/>
        <color auto="1"/>
        <name val="Carlito"/>
        <scheme val="none"/>
      </font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</dxf>
    <dxf>
      <font>
        <sz val="9"/>
        <color auto="1"/>
        <name val="Carlito"/>
        <scheme val="none"/>
      </font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</dxf>
    <dxf>
      <font>
        <sz val="9"/>
        <color auto="1"/>
        <name val="Carlito"/>
        <scheme val="none"/>
      </font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</dxf>
    <dxf>
      <font>
        <sz val="9"/>
        <color auto="1"/>
        <name val="Carlito"/>
        <scheme val="none"/>
      </font>
      <alignment horizontal="center" vertical="center" textRotation="0" wrapText="1" indent="0" justifyLastLine="0" shrinkToFit="0" readingOrder="0"/>
    </dxf>
    <dxf>
      <font>
        <sz val="9"/>
        <color auto="1"/>
        <name val="Carlito"/>
        <scheme val="none"/>
      </font>
      <alignment horizontal="center" vertical="center" textRotation="0" wrapText="1" indent="0" justifyLastLine="0" shrinkToFit="0" readingOrder="0"/>
    </dxf>
    <dxf>
      <font>
        <sz val="9"/>
        <color auto="1"/>
        <name val="Carlito"/>
        <scheme val="none"/>
      </font>
      <alignment horizontal="center" vertical="center" textRotation="0" wrapText="1" indent="0" justifyLastLine="0" shrinkToFit="0" readingOrder="0"/>
    </dxf>
    <dxf>
      <font>
        <sz val="9"/>
        <color auto="1"/>
        <name val="Carlito"/>
        <scheme val="none"/>
      </font>
      <alignment horizontal="center" vertical="center" textRotation="0" wrapText="1" indent="0" justifyLastLine="0" shrinkToFit="0" readingOrder="0"/>
    </dxf>
    <dxf>
      <font>
        <sz val="9"/>
        <color auto="1"/>
        <name val="Carlito"/>
        <scheme val="none"/>
      </font>
      <alignment horizontal="center" vertical="center" textRotation="0" wrapText="1" indent="0" justifyLastLine="0" shrinkToFit="0" readingOrder="0"/>
    </dxf>
    <dxf>
      <font>
        <sz val="9"/>
        <color auto="1"/>
        <name val="Carlito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9"/>
        <color auto="1"/>
        <name val="Carlito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font>
        <sz val="9"/>
        <color auto="1"/>
        <name val="Carlito"/>
        <scheme val="none"/>
      </font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B Nazanin"/>
        <charset val="178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9"/>
        <color auto="1"/>
        <name val="Carlito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B Nazanin"/>
        <charset val="178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</dxf>
    <dxf>
      <font>
        <sz val="9"/>
        <color auto="1"/>
        <name val="Carlito"/>
        <scheme val="none"/>
      </font>
      <alignment horizontal="center" vertical="center" textRotation="0" wrapText="1" indent="0" justifyLastLine="0" shrinkToFit="0" readingOrder="0"/>
    </dxf>
    <dxf>
      <font>
        <sz val="9"/>
        <color auto="1"/>
        <name val="Carlito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alignment horizontal="general" vertical="center" textRotation="0" wrapText="0" indent="0" justifyLastLine="0" shrinkToFit="0" readingOrder="0"/>
    </dxf>
    <dxf>
      <font>
        <sz val="9"/>
        <color auto="1"/>
        <name val="Carlito"/>
        <scheme val="none"/>
      </font>
      <alignment horizontal="center" vertical="center" textRotation="0" wrapText="1" indent="0" justifyLastLine="0" shrinkToFit="0" readingOrder="0"/>
    </dxf>
    <dxf>
      <font>
        <sz val="9"/>
        <color auto="1"/>
        <name val="Carlito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B Nazanin"/>
        <charset val="178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B Nazanin"/>
        <charset val="178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B Nazanin"/>
        <charset val="178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z val="9"/>
        <color auto="1"/>
        <name val="Carlito"/>
        <scheme val="none"/>
      </font>
      <alignment horizontal="center" vertical="center" textRotation="0" wrapText="1" indent="0" justifyLastLine="0" shrinkToFit="0" readingOrder="0"/>
    </dxf>
    <dxf>
      <font>
        <sz val="9"/>
        <color auto="1"/>
        <name val="Carlito"/>
        <scheme val="none"/>
      </font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</dxf>
    <dxf>
      <font>
        <sz val="9"/>
        <color auto="1"/>
        <name val="Carlito"/>
        <scheme val="none"/>
      </font>
      <alignment horizontal="center" vertical="center" textRotation="0" wrapText="1" indent="0" justifyLastLine="0" shrinkToFit="0" readingOrder="0"/>
    </dxf>
    <dxf>
      <font>
        <sz val="9"/>
        <color auto="1"/>
        <name val="Carlito"/>
        <scheme val="none"/>
      </font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</dxf>
    <dxf>
      <font>
        <sz val="9"/>
        <color auto="1"/>
        <name val="Carlito"/>
        <scheme val="none"/>
      </font>
      <alignment horizontal="center" vertical="center" textRotation="0" wrapText="1" indent="0" justifyLastLine="0" shrinkToFit="0" readingOrder="0"/>
    </dxf>
    <dxf>
      <font>
        <sz val="9"/>
        <color auto="1"/>
        <name val="Carlito"/>
        <scheme val="none"/>
      </font>
      <numFmt numFmtId="2" formatCode="0.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9"/>
        <color auto="1"/>
        <name val="Carlito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9"/>
        <color auto="1"/>
        <name val="Carlito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9"/>
        <color auto="1"/>
        <name val="Carlito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B Nazanin"/>
        <charset val="178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9999"/>
      <color rgb="FFFF99FF"/>
      <color rgb="FFFFCCFF"/>
      <color rgb="FFE3AFBE"/>
      <color rgb="FFFEED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403657-C20B-4C0B-A273-8CF1A1FD2CA5}" name="Table2" displayName="Table2" ref="A1:B2" totalsRowShown="0" headerRowDxfId="98" headerRowBorderDxfId="97">
  <tableColumns count="2">
    <tableColumn id="1" xr3:uid="{429FAEBD-1BC8-43DB-91B4-D1B3CC4A8A3B}" name="نام واحد تجاری"/>
    <tableColumn id="2" xr3:uid="{384E9FC9-DF2A-41B0-9EEF-0FB1A3467B81}" name="شناسه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F7E473-D2C8-4EDF-998C-27B845389FDF}" name="Table3" displayName="Table3" ref="A1:B9" totalsRowShown="0" headerRowDxfId="96" headerRowBorderDxfId="95" tableBorderDxfId="94">
  <tableColumns count="2">
    <tableColumn id="1" xr3:uid="{563B3555-603F-4E62-B735-5E5D234D66C9}" name=" شاخص کلان" dataDxfId="93"/>
    <tableColumn id="2" xr3:uid="{083CDC35-73B7-4BDF-AAA7-BA82687D19FD}" name="شناسه" dataDxfId="9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5D020CF-4B03-441A-B715-3A34116E1579}" name="Table4" displayName="Table4" ref="A1:B30" totalsRowShown="0" headerRowDxfId="91" headerRowBorderDxfId="90" tableBorderDxfId="89">
  <tableColumns count="2">
    <tableColumn id="1" xr3:uid="{CAEBD9CC-3ACB-4CE1-A893-3FE800884D3B}" name="واحد تجاری"/>
    <tableColumn id="2" xr3:uid="{3D02108A-9FB2-4EEE-AB90-5D595D76D12D}" name="کسب و کار" dataDxfId="8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6FCA4E5-D2A4-4017-8C85-14D6DAECE483}" name="Table5" displayName="Table5" ref="A1:C5" totalsRowShown="0" headerRowDxfId="87" headerRowBorderDxfId="86" tableBorderDxfId="85">
  <tableColumns count="3">
    <tableColumn id="1" xr3:uid="{F3AEB0A9-03EE-4FDB-8479-FEA891B3D479}" name="واحد تجاری" dataDxfId="84"/>
    <tableColumn id="2" xr3:uid="{943921B6-1BB0-444B-A0F8-37CE9A8F3973}" name="پروژه" dataDxfId="83"/>
    <tableColumn id="3" xr3:uid="{A9760F74-5E8C-45D6-B67B-3D48B93E938E}" name="شناسه پروژه" dataDxfId="8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9A37A2D-F52E-483E-A110-F923CFFB2FB3}" name="Table6" displayName="Table6" ref="A1:C9" totalsRowShown="0" headerRowDxfId="81" headerRowBorderDxfId="80" tableBorderDxfId="79">
  <tableColumns count="3">
    <tableColumn id="1" xr3:uid="{991A9CC3-2589-46C7-B132-3096162027A1}" name="واحد تجاری" dataDxfId="78"/>
    <tableColumn id="2" xr3:uid="{20829C72-0367-466C-87FC-51E56BE26216}" name="برنامه" dataDxfId="77"/>
    <tableColumn id="3" xr3:uid="{8F95A1A9-F627-4A2E-B419-FCD929B9804E}" name="شناسه برنامه" dataDxfId="7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79B8233-128A-4B9F-93C0-605E09C67954}" name="Table7" displayName="Table7" ref="A1:D52" totalsRowShown="0" headerRowDxfId="75" headerRowBorderDxfId="74" tableBorderDxfId="73" totalsRowBorderDxfId="72">
  <tableColumns count="4">
    <tableColumn id="1" xr3:uid="{588DF6E4-ECB6-4F46-8E43-CD51BCDE9B91}" name="واحد تجاری" dataDxfId="71"/>
    <tableColumn id="2" xr3:uid="{64CEFEC1-D1D1-49A8-915C-0B419C3142F8}" name="اقدامات" dataDxfId="70"/>
    <tableColumn id="3" xr3:uid="{3BB29316-278F-422B-940A-E2AC16946C6A}" name="شناسه اقدامات" dataDxfId="69"/>
    <tableColumn id="4" xr3:uid="{273C085C-ABC1-41FE-8651-130A746E77D9}" name="پروژه/برنامه" dataDxfId="6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1C3E7C-6EB1-46DD-B024-026585DEB3B8}" name="Table1" displayName="Table1" ref="B1:E85" totalsRowShown="0" headerRowDxfId="67" headerRowBorderDxfId="66" tableBorderDxfId="65" totalsRowBorderDxfId="64">
  <autoFilter ref="B1:E85" xr:uid="{BF1C3E7C-6EB1-46DD-B024-026585DEB3B8}"/>
  <sortState xmlns:xlrd2="http://schemas.microsoft.com/office/spreadsheetml/2017/richdata2" ref="B2:E2">
    <sortCondition ref="B2"/>
    <sortCondition ref="C2"/>
  </sortState>
  <tableColumns count="4">
    <tableColumn id="2" xr3:uid="{DCC6F6DF-24ED-4617-8054-5C45A3413AB5}" name="کسب و کار" dataDxfId="63"/>
    <tableColumn id="3" xr3:uid="{E359B7E7-0931-4867-9890-B5D3F30C0004}" name="سال" dataDxfId="62"/>
    <tableColumn id="5" xr3:uid="{45BD52ED-D97B-4E69-A56D-FF75B67BFF5E}" name="ماه" dataDxfId="61"/>
    <tableColumn id="6" xr3:uid="{33EE982E-56C7-4A1F-B2ED-40D81F72E36C}" name="درآمد-هدف" dataDxfId="6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D829068-4216-4CA4-B037-12C996D49CA1}" name="Table9" displayName="Table9" ref="B1:L64" totalsRowShown="0" headerRowDxfId="113" headerRowBorderDxfId="112" tableBorderDxfId="111" totalsRowBorderDxfId="110">
  <autoFilter ref="B1:L64" xr:uid="{FD829068-4216-4CA4-B037-12C996D49CA1}"/>
  <tableColumns count="11">
    <tableColumn id="2" xr3:uid="{92A8E4F3-D931-4DE1-BE16-628575115561}" name="کسب و کار" dataDxfId="109"/>
    <tableColumn id="3" xr3:uid="{C3B0006B-FD6C-48F3-A045-C26EBF8DB270}" name="برنامه" dataDxfId="108"/>
    <tableColumn id="4" xr3:uid="{E1633F7D-6266-488E-8DD2-4EB094DB9C0F}" name="سال" dataDxfId="107"/>
    <tableColumn id="8" xr3:uid="{58D1FE66-FFA5-444F-8F65-42EF016105EE}" name="ماه" dataDxfId="106"/>
    <tableColumn id="5" xr3:uid="{E1457084-7149-4010-9E89-50DEAAB9C6FF}" name="شاخص برنامه" dataDxfId="105"/>
    <tableColumn id="6" xr3:uid="{F5A6663F-5A74-4D81-B839-40A19C0081C6}" name="واحد" dataDxfId="104"/>
    <tableColumn id="9" xr3:uid="{6BD0F9CE-67B5-4E92-B51C-4053E0746BD6}" name="هدف دوره" dataDxfId="103"/>
    <tableColumn id="10" xr3:uid="{7A4B9D45-4F92-4937-AD28-D725F82256A0}" name="عملکرد دوره" dataDxfId="102"/>
    <tableColumn id="11" xr3:uid="{2DD6D683-7722-46AE-8FE6-BBDA477E588D}" name="درصد تحقق" dataDxfId="101">
      <calculatedColumnFormula>IF(OR(H2="",I2=""),"",IFERROR(I2/H2*100,""))</calculatedColumnFormula>
    </tableColumn>
    <tableColumn id="12" xr3:uid="{42A1D41B-63F5-4967-8894-00106A8583CF}" name="وضعیت عملکرد" dataDxfId="100"/>
    <tableColumn id="13" xr3:uid="{3463F5D3-0B48-4F78-85BE-9A2EE2CEC9F1}" name="توضیحات" dataDxfId="9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48CAAA9-0A4E-4550-82E9-8A885DEC3B58}" name="Table8" displayName="Table8" ref="B1:K40" totalsRowShown="0" headerRowDxfId="59" dataDxfId="57" headerRowBorderDxfId="58" tableBorderDxfId="56">
  <autoFilter ref="B1:K40" xr:uid="{D48CAAA9-0A4E-4550-82E9-8A885DEC3B58}"/>
  <tableColumns count="10">
    <tableColumn id="2" xr3:uid="{2FEB5986-B8DA-44ED-9958-16736C7B37F2}" name="کسب و کار" dataDxfId="55"/>
    <tableColumn id="3" xr3:uid="{478F19B7-36C9-4763-B929-AAAF2404A6EB}" name="پروژه" dataDxfId="54"/>
    <tableColumn id="4" xr3:uid="{8A4E1181-63F4-407E-8E85-C41D0544C12F}" name="سال" dataDxfId="53"/>
    <tableColumn id="5" xr3:uid="{C7A6A86C-1FB6-470C-BC76-C51132DBD8FF}" name="ماه" dataDxfId="52"/>
    <tableColumn id="6" xr3:uid="{72C1B656-C12F-4CAD-B1D8-F65D7F8A517E}" name="پیشرفت برنامه‌ای (%)" dataDxfId="51"/>
    <tableColumn id="7" xr3:uid="{3EC4D434-6415-4098-88C9-3AE1827BE683}" name="پیشرفت واقعی (%)" dataDxfId="50"/>
    <tableColumn id="8" xr3:uid="{D962EB45-3552-4519-B7B2-299F1CAC1758}" name="انحراف پیشرفت" dataDxfId="49">
      <calculatedColumnFormula>IF(OR(F2="",G2=""),"",G2-F2)</calculatedColumnFormula>
    </tableColumn>
    <tableColumn id="9" xr3:uid="{2C2B8092-E8F6-4F7B-BF30-197DF2F7D476}" name="وضعیت پروژه" dataDxfId="48"/>
    <tableColumn id="10" xr3:uid="{266CEBB9-D903-4B6C-8E3E-A1F56F15EAE0}" name="روز تأخیر" dataDxfId="47"/>
    <tableColumn id="11" xr3:uid="{F9E921A3-EF45-416B-87D1-002C7A1F6795}" name="علت انحراف/توضیحات" dataDxfId="4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BB813-7732-447A-9C53-8DCB86F700E3}">
  <dimension ref="A1:B10"/>
  <sheetViews>
    <sheetView rightToLeft="1" workbookViewId="0">
      <selection activeCell="B9" sqref="B9"/>
    </sheetView>
  </sheetViews>
  <sheetFormatPr defaultRowHeight="14.4"/>
  <cols>
    <col min="2" max="2" width="103.21875" customWidth="1"/>
  </cols>
  <sheetData>
    <row r="1" spans="1:2">
      <c r="A1" s="14" t="s">
        <v>16</v>
      </c>
      <c r="B1" s="14" t="s">
        <v>17</v>
      </c>
    </row>
    <row r="2" spans="1:2">
      <c r="A2" s="15" t="s">
        <v>5</v>
      </c>
      <c r="B2" s="15"/>
    </row>
    <row r="3" spans="1:2">
      <c r="A3" s="15" t="s">
        <v>18</v>
      </c>
      <c r="B3" s="15"/>
    </row>
    <row r="4" spans="1:2" ht="22.8">
      <c r="A4" s="15" t="s">
        <v>19</v>
      </c>
      <c r="B4" s="15"/>
    </row>
    <row r="5" spans="1:2">
      <c r="A5" s="15" t="s">
        <v>20</v>
      </c>
      <c r="B5" s="15"/>
    </row>
    <row r="6" spans="1:2">
      <c r="A6" s="15" t="s">
        <v>21</v>
      </c>
      <c r="B6" s="15"/>
    </row>
    <row r="7" spans="1:2">
      <c r="A7" s="15" t="s">
        <v>22</v>
      </c>
      <c r="B7" s="15"/>
    </row>
    <row r="8" spans="1:2" ht="22.8">
      <c r="A8" s="15" t="s">
        <v>23</v>
      </c>
      <c r="B8" s="15"/>
    </row>
    <row r="9" spans="1:2" ht="34.200000000000003">
      <c r="A9" s="15" t="s">
        <v>24</v>
      </c>
      <c r="B9" s="15"/>
    </row>
    <row r="10" spans="1:2" ht="34.200000000000003">
      <c r="A10" s="15" t="s">
        <v>24</v>
      </c>
      <c r="B10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3EC8D-5BD9-4E9D-9B31-F3D197736F35}">
  <sheetPr>
    <tabColor theme="5" tint="0.39997558519241921"/>
  </sheetPr>
  <dimension ref="A1:B2"/>
  <sheetViews>
    <sheetView rightToLeft="1" zoomScale="175" zoomScaleNormal="175" workbookViewId="0">
      <pane xSplit="6" ySplit="2" topLeftCell="G3" activePane="bottomRight" state="frozen"/>
      <selection pane="topRight" activeCell="G1" sqref="G1"/>
      <selection pane="bottomLeft" activeCell="A11" sqref="A11"/>
      <selection pane="bottomRight" activeCell="A2" sqref="A2"/>
    </sheetView>
  </sheetViews>
  <sheetFormatPr defaultRowHeight="14.4"/>
  <cols>
    <col min="1" max="1" width="16" customWidth="1"/>
    <col min="2" max="2" width="16.21875" bestFit="1" customWidth="1"/>
  </cols>
  <sheetData>
    <row r="1" spans="1:2" ht="18.600000000000001">
      <c r="A1" s="20" t="s">
        <v>4</v>
      </c>
      <c r="B1" s="20" t="s">
        <v>10</v>
      </c>
    </row>
    <row r="2" spans="1:2">
      <c r="A2" t="s">
        <v>6</v>
      </c>
      <c r="B2" t="s">
        <v>25</v>
      </c>
    </row>
  </sheetData>
  <conditionalFormatting sqref="A1:B1">
    <cfRule type="duplicateValues" dxfId="45" priority="1"/>
    <cfRule type="duplicateValues" dxfId="44" priority="2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4287D-CD10-4D84-9115-74B7F6DDEB48}">
  <sheetPr>
    <tabColor theme="5" tint="0.39997558519241921"/>
  </sheetPr>
  <dimension ref="A1:B9"/>
  <sheetViews>
    <sheetView rightToLeft="1" zoomScale="110" zoomScaleNormal="110" workbookViewId="0">
      <selection activeCell="B4" sqref="B4"/>
    </sheetView>
  </sheetViews>
  <sheetFormatPr defaultColWidth="9.109375" defaultRowHeight="14.4"/>
  <cols>
    <col min="1" max="1" width="12.44140625" style="1" bestFit="1" customWidth="1"/>
  </cols>
  <sheetData>
    <row r="1" spans="1:2" ht="18.600000000000001">
      <c r="A1" s="20" t="s">
        <v>26</v>
      </c>
      <c r="B1" s="21" t="s">
        <v>10</v>
      </c>
    </row>
    <row r="2" spans="1:2">
      <c r="A2" s="1" t="s">
        <v>11</v>
      </c>
      <c r="B2" s="11">
        <v>1</v>
      </c>
    </row>
    <row r="3" spans="1:2">
      <c r="A3" s="3" t="s">
        <v>9</v>
      </c>
      <c r="B3" s="12">
        <v>2</v>
      </c>
    </row>
    <row r="4" spans="1:2">
      <c r="A4" s="3" t="s">
        <v>0</v>
      </c>
      <c r="B4" s="12">
        <v>3</v>
      </c>
    </row>
    <row r="5" spans="1:2">
      <c r="A5" s="3" t="s">
        <v>3</v>
      </c>
      <c r="B5" s="12">
        <v>4</v>
      </c>
    </row>
    <row r="6" spans="1:2">
      <c r="A6" s="3" t="s">
        <v>12</v>
      </c>
      <c r="B6" s="12">
        <v>5</v>
      </c>
    </row>
    <row r="7" spans="1:2">
      <c r="A7" s="3" t="s">
        <v>13</v>
      </c>
      <c r="B7" s="12">
        <v>6</v>
      </c>
    </row>
    <row r="8" spans="1:2">
      <c r="A8" s="3" t="s">
        <v>14</v>
      </c>
      <c r="B8" s="12">
        <v>7</v>
      </c>
    </row>
    <row r="9" spans="1:2">
      <c r="A9" s="9" t="s">
        <v>15</v>
      </c>
      <c r="B9" s="13">
        <v>8</v>
      </c>
    </row>
  </sheetData>
  <conditionalFormatting sqref="A1">
    <cfRule type="duplicateValues" dxfId="43" priority="1"/>
  </conditionalFormatting>
  <conditionalFormatting sqref="A1:B1">
    <cfRule type="duplicateValues" dxfId="42" priority="2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784A5-0554-445B-8C01-C94BB19904AA}">
  <sheetPr>
    <tabColor theme="5" tint="0.39997558519241921"/>
  </sheetPr>
  <dimension ref="A1:G242"/>
  <sheetViews>
    <sheetView rightToLeft="1" topLeftCell="A3" workbookViewId="0"/>
  </sheetViews>
  <sheetFormatPr defaultColWidth="9.109375" defaultRowHeight="14.4"/>
  <cols>
    <col min="1" max="1" width="13.77734375" style="1" customWidth="1"/>
    <col min="2" max="2" width="55.109375" style="1" bestFit="1" customWidth="1"/>
    <col min="3" max="3" width="17.77734375" style="1" customWidth="1"/>
    <col min="4" max="4" width="17.33203125" style="1" customWidth="1"/>
    <col min="5" max="5" width="31.88671875" style="1" customWidth="1"/>
    <col min="6" max="6" width="30.21875" style="1" customWidth="1"/>
    <col min="7" max="7" width="26.44140625" style="1" customWidth="1"/>
    <col min="8" max="16384" width="9.109375" style="1"/>
  </cols>
  <sheetData>
    <row r="1" spans="1:7" ht="14.55" customHeight="1">
      <c r="A1" s="20" t="s">
        <v>66</v>
      </c>
      <c r="B1" s="21" t="s">
        <v>7</v>
      </c>
      <c r="C1" s="21" t="s">
        <v>27</v>
      </c>
      <c r="D1" s="20" t="s">
        <v>28</v>
      </c>
      <c r="E1" s="20" t="s">
        <v>29</v>
      </c>
      <c r="F1" s="21" t="s">
        <v>30</v>
      </c>
      <c r="G1" s="21" t="s">
        <v>31</v>
      </c>
    </row>
    <row r="2" spans="1:7" ht="45.6">
      <c r="A2" t="s">
        <v>6</v>
      </c>
      <c r="B2" s="15" t="s">
        <v>99</v>
      </c>
      <c r="C2" s="15" t="s">
        <v>100</v>
      </c>
      <c r="D2" s="15" t="s">
        <v>101</v>
      </c>
      <c r="E2" s="15" t="s">
        <v>102</v>
      </c>
      <c r="F2" s="15" t="s">
        <v>103</v>
      </c>
      <c r="G2" s="15" t="s">
        <v>104</v>
      </c>
    </row>
    <row r="3" spans="1:7" ht="68.400000000000006">
      <c r="A3" t="s">
        <v>6</v>
      </c>
      <c r="B3" s="15" t="s">
        <v>105</v>
      </c>
      <c r="C3" s="15" t="s">
        <v>106</v>
      </c>
      <c r="D3" s="15" t="s">
        <v>107</v>
      </c>
      <c r="E3" s="15" t="s">
        <v>108</v>
      </c>
      <c r="F3" s="15" t="s">
        <v>109</v>
      </c>
      <c r="G3" s="15" t="s">
        <v>110</v>
      </c>
    </row>
    <row r="4" spans="1:7" ht="68.400000000000006">
      <c r="A4" t="s">
        <v>6</v>
      </c>
      <c r="B4" s="15" t="s">
        <v>111</v>
      </c>
      <c r="C4" s="15" t="s">
        <v>112</v>
      </c>
      <c r="D4" s="15" t="s">
        <v>113</v>
      </c>
      <c r="E4" s="15" t="s">
        <v>114</v>
      </c>
      <c r="F4" s="15" t="s">
        <v>115</v>
      </c>
      <c r="G4" s="15" t="s">
        <v>116</v>
      </c>
    </row>
    <row r="5" spans="1:7" ht="57">
      <c r="A5" t="s">
        <v>6</v>
      </c>
      <c r="B5" s="15" t="s">
        <v>117</v>
      </c>
      <c r="C5" s="15" t="s">
        <v>118</v>
      </c>
      <c r="D5" s="15" t="s">
        <v>119</v>
      </c>
      <c r="E5" s="15" t="s">
        <v>120</v>
      </c>
      <c r="F5" s="15" t="s">
        <v>121</v>
      </c>
      <c r="G5" s="15" t="s">
        <v>122</v>
      </c>
    </row>
    <row r="6" spans="1:7" ht="68.400000000000006">
      <c r="A6" t="s">
        <v>6</v>
      </c>
      <c r="B6" s="15" t="s">
        <v>123</v>
      </c>
      <c r="C6" s="15" t="s">
        <v>124</v>
      </c>
      <c r="D6" s="15" t="s">
        <v>125</v>
      </c>
      <c r="E6" s="15" t="s">
        <v>126</v>
      </c>
      <c r="F6" s="15" t="s">
        <v>127</v>
      </c>
      <c r="G6" s="15" t="s">
        <v>116</v>
      </c>
    </row>
    <row r="7" spans="1:7" ht="57">
      <c r="A7" t="s">
        <v>6</v>
      </c>
      <c r="B7" s="15" t="s">
        <v>128</v>
      </c>
      <c r="C7" s="15" t="s">
        <v>129</v>
      </c>
      <c r="D7" s="15" t="s">
        <v>130</v>
      </c>
      <c r="E7" s="15" t="s">
        <v>131</v>
      </c>
      <c r="F7" s="15" t="s">
        <v>132</v>
      </c>
      <c r="G7" s="15" t="s">
        <v>116</v>
      </c>
    </row>
    <row r="8" spans="1:7" ht="79.8">
      <c r="A8" t="s">
        <v>6</v>
      </c>
      <c r="B8" s="15" t="s">
        <v>24</v>
      </c>
      <c r="C8" s="15" t="s">
        <v>133</v>
      </c>
      <c r="D8" s="15" t="s">
        <v>134</v>
      </c>
      <c r="E8" s="15" t="s">
        <v>135</v>
      </c>
      <c r="F8" s="15" t="s">
        <v>136</v>
      </c>
      <c r="G8" s="15" t="s">
        <v>137</v>
      </c>
    </row>
    <row r="9" spans="1:7">
      <c r="A9"/>
      <c r="B9" s="3"/>
    </row>
    <row r="10" spans="1:7">
      <c r="A10"/>
      <c r="B10" s="3"/>
    </row>
    <row r="11" spans="1:7">
      <c r="A11"/>
      <c r="B11" s="3"/>
    </row>
    <row r="12" spans="1:7">
      <c r="A12"/>
      <c r="B12" s="3"/>
    </row>
    <row r="13" spans="1:7">
      <c r="A13"/>
      <c r="B13" s="3"/>
    </row>
    <row r="14" spans="1:7">
      <c r="A14"/>
      <c r="B14" s="3"/>
    </row>
    <row r="15" spans="1:7">
      <c r="A15"/>
      <c r="B15" s="3"/>
    </row>
    <row r="16" spans="1:7">
      <c r="A16"/>
      <c r="B16" s="3"/>
    </row>
    <row r="17" spans="1:2">
      <c r="A17"/>
      <c r="B17" s="3"/>
    </row>
    <row r="18" spans="1:2">
      <c r="A18"/>
      <c r="B18" s="3"/>
    </row>
    <row r="19" spans="1:2">
      <c r="A19"/>
      <c r="B19" s="3"/>
    </row>
    <row r="20" spans="1:2">
      <c r="A20"/>
      <c r="B20" s="3"/>
    </row>
    <row r="21" spans="1:2">
      <c r="A21"/>
      <c r="B21" s="3"/>
    </row>
    <row r="22" spans="1:2">
      <c r="A22"/>
      <c r="B22" s="3"/>
    </row>
    <row r="23" spans="1:2">
      <c r="A23"/>
      <c r="B23" s="3"/>
    </row>
    <row r="24" spans="1:2">
      <c r="A24"/>
      <c r="B24" s="3"/>
    </row>
    <row r="25" spans="1:2">
      <c r="A25"/>
      <c r="B25" s="3"/>
    </row>
    <row r="26" spans="1:2">
      <c r="A26"/>
      <c r="B26" s="3"/>
    </row>
    <row r="27" spans="1:2">
      <c r="A27"/>
      <c r="B27" s="3"/>
    </row>
    <row r="28" spans="1:2">
      <c r="A28"/>
      <c r="B28" s="3"/>
    </row>
    <row r="29" spans="1:2">
      <c r="A29"/>
      <c r="B29" s="3"/>
    </row>
    <row r="30" spans="1:2">
      <c r="A30"/>
      <c r="B30" s="3"/>
    </row>
    <row r="31" spans="1:2">
      <c r="A31"/>
      <c r="B31"/>
    </row>
    <row r="32" spans="1:2">
      <c r="A32"/>
      <c r="B32"/>
    </row>
    <row r="33" spans="1:2">
      <c r="A33"/>
      <c r="B33"/>
    </row>
    <row r="34" spans="1:2">
      <c r="A34"/>
      <c r="B34"/>
    </row>
    <row r="35" spans="1:2">
      <c r="A35"/>
      <c r="B35"/>
    </row>
    <row r="36" spans="1:2">
      <c r="A36"/>
      <c r="B36"/>
    </row>
    <row r="37" spans="1:2">
      <c r="A37"/>
      <c r="B37"/>
    </row>
    <row r="38" spans="1:2">
      <c r="A38"/>
      <c r="B38"/>
    </row>
    <row r="39" spans="1:2">
      <c r="A39"/>
      <c r="B39"/>
    </row>
    <row r="40" spans="1:2">
      <c r="A40"/>
      <c r="B40"/>
    </row>
    <row r="41" spans="1:2">
      <c r="A41"/>
      <c r="B41"/>
    </row>
    <row r="42" spans="1:2">
      <c r="A42"/>
      <c r="B42"/>
    </row>
    <row r="43" spans="1:2">
      <c r="A43"/>
      <c r="B43"/>
    </row>
    <row r="44" spans="1:2">
      <c r="A44"/>
      <c r="B44"/>
    </row>
    <row r="45" spans="1:2">
      <c r="A45"/>
      <c r="B45"/>
    </row>
    <row r="46" spans="1:2">
      <c r="A46"/>
      <c r="B46"/>
    </row>
    <row r="47" spans="1:2">
      <c r="A47"/>
      <c r="B47"/>
    </row>
    <row r="48" spans="1:2">
      <c r="A48"/>
      <c r="B48"/>
    </row>
    <row r="49" spans="1:2">
      <c r="A49"/>
      <c r="B49"/>
    </row>
    <row r="50" spans="1:2">
      <c r="A50"/>
      <c r="B50"/>
    </row>
    <row r="51" spans="1:2">
      <c r="A51"/>
      <c r="B51"/>
    </row>
    <row r="52" spans="1:2">
      <c r="A52"/>
      <c r="B52"/>
    </row>
    <row r="53" spans="1:2">
      <c r="A53"/>
      <c r="B53"/>
    </row>
    <row r="54" spans="1:2">
      <c r="A54"/>
      <c r="B54"/>
    </row>
    <row r="55" spans="1:2">
      <c r="A55"/>
      <c r="B55"/>
    </row>
    <row r="56" spans="1:2">
      <c r="A56"/>
      <c r="B56"/>
    </row>
    <row r="57" spans="1:2">
      <c r="A57"/>
      <c r="B57"/>
    </row>
    <row r="58" spans="1:2">
      <c r="A58"/>
      <c r="B58"/>
    </row>
    <row r="59" spans="1:2">
      <c r="A59"/>
      <c r="B59"/>
    </row>
    <row r="60" spans="1:2">
      <c r="A60"/>
      <c r="B60"/>
    </row>
    <row r="61" spans="1:2">
      <c r="A61"/>
      <c r="B61"/>
    </row>
    <row r="62" spans="1:2">
      <c r="A62"/>
      <c r="B62"/>
    </row>
    <row r="63" spans="1:2">
      <c r="A63"/>
      <c r="B63"/>
    </row>
    <row r="64" spans="1:2">
      <c r="A64"/>
      <c r="B64"/>
    </row>
    <row r="65" spans="1:2">
      <c r="A65"/>
      <c r="B65"/>
    </row>
    <row r="66" spans="1:2">
      <c r="A66"/>
      <c r="B66"/>
    </row>
    <row r="67" spans="1:2">
      <c r="A67"/>
      <c r="B67"/>
    </row>
    <row r="68" spans="1:2">
      <c r="A68"/>
      <c r="B68"/>
    </row>
    <row r="69" spans="1:2">
      <c r="A69"/>
      <c r="B69"/>
    </row>
    <row r="70" spans="1:2">
      <c r="A70"/>
      <c r="B70"/>
    </row>
    <row r="71" spans="1:2">
      <c r="A71"/>
      <c r="B71"/>
    </row>
    <row r="72" spans="1:2">
      <c r="A72"/>
      <c r="B72"/>
    </row>
    <row r="73" spans="1:2">
      <c r="A73"/>
      <c r="B73"/>
    </row>
    <row r="74" spans="1:2">
      <c r="A74"/>
      <c r="B74"/>
    </row>
    <row r="75" spans="1:2">
      <c r="A75"/>
      <c r="B75"/>
    </row>
    <row r="76" spans="1:2">
      <c r="A76"/>
      <c r="B76"/>
    </row>
    <row r="77" spans="1:2">
      <c r="A77"/>
      <c r="B77"/>
    </row>
    <row r="78" spans="1:2">
      <c r="A78"/>
      <c r="B78"/>
    </row>
    <row r="79" spans="1:2">
      <c r="A79"/>
      <c r="B79"/>
    </row>
    <row r="80" spans="1:2">
      <c r="A80"/>
      <c r="B80"/>
    </row>
    <row r="81" spans="1:2">
      <c r="A81"/>
      <c r="B81"/>
    </row>
    <row r="82" spans="1:2">
      <c r="A82"/>
      <c r="B82"/>
    </row>
    <row r="83" spans="1:2">
      <c r="A83"/>
      <c r="B83"/>
    </row>
    <row r="84" spans="1:2">
      <c r="A84"/>
      <c r="B84"/>
    </row>
    <row r="85" spans="1:2">
      <c r="A85"/>
      <c r="B85"/>
    </row>
    <row r="86" spans="1:2">
      <c r="A86"/>
      <c r="B86"/>
    </row>
    <row r="87" spans="1:2">
      <c r="A87"/>
      <c r="B87"/>
    </row>
    <row r="88" spans="1:2">
      <c r="A88"/>
      <c r="B88"/>
    </row>
    <row r="89" spans="1:2">
      <c r="A89"/>
      <c r="B89"/>
    </row>
    <row r="90" spans="1:2">
      <c r="A90"/>
      <c r="B90"/>
    </row>
    <row r="91" spans="1:2">
      <c r="A91"/>
      <c r="B91"/>
    </row>
    <row r="92" spans="1:2">
      <c r="A92"/>
      <c r="B92"/>
    </row>
    <row r="93" spans="1:2">
      <c r="A93"/>
      <c r="B93"/>
    </row>
    <row r="94" spans="1:2">
      <c r="A94"/>
      <c r="B94"/>
    </row>
    <row r="95" spans="1:2">
      <c r="A95"/>
      <c r="B95"/>
    </row>
    <row r="96" spans="1:2">
      <c r="A96"/>
      <c r="B96"/>
    </row>
    <row r="97" spans="1:2">
      <c r="A97"/>
      <c r="B97"/>
    </row>
    <row r="98" spans="1:2">
      <c r="A98"/>
      <c r="B98"/>
    </row>
    <row r="99" spans="1:2">
      <c r="A99"/>
      <c r="B99"/>
    </row>
    <row r="100" spans="1:2">
      <c r="A100"/>
      <c r="B100"/>
    </row>
    <row r="101" spans="1:2">
      <c r="A101"/>
      <c r="B101"/>
    </row>
    <row r="102" spans="1:2">
      <c r="A102"/>
      <c r="B102"/>
    </row>
    <row r="103" spans="1:2">
      <c r="A103"/>
      <c r="B103"/>
    </row>
    <row r="104" spans="1:2">
      <c r="A104"/>
      <c r="B104"/>
    </row>
    <row r="105" spans="1:2">
      <c r="A105"/>
      <c r="B105"/>
    </row>
    <row r="106" spans="1:2">
      <c r="A106"/>
      <c r="B106"/>
    </row>
    <row r="107" spans="1:2">
      <c r="A107"/>
      <c r="B107"/>
    </row>
    <row r="108" spans="1:2">
      <c r="A108"/>
      <c r="B108"/>
    </row>
    <row r="109" spans="1:2">
      <c r="A109"/>
      <c r="B109"/>
    </row>
    <row r="110" spans="1:2">
      <c r="A110"/>
      <c r="B110"/>
    </row>
    <row r="111" spans="1:2">
      <c r="A111"/>
      <c r="B111"/>
    </row>
    <row r="112" spans="1:2">
      <c r="A112"/>
      <c r="B112"/>
    </row>
    <row r="113" spans="1:2">
      <c r="A113"/>
      <c r="B113"/>
    </row>
    <row r="114" spans="1:2">
      <c r="A114"/>
      <c r="B114"/>
    </row>
    <row r="115" spans="1:2">
      <c r="A115"/>
      <c r="B115"/>
    </row>
    <row r="116" spans="1:2">
      <c r="A116"/>
      <c r="B116"/>
    </row>
    <row r="117" spans="1:2">
      <c r="A117"/>
      <c r="B117"/>
    </row>
    <row r="118" spans="1:2">
      <c r="A118"/>
      <c r="B118"/>
    </row>
    <row r="119" spans="1:2">
      <c r="A119"/>
      <c r="B119"/>
    </row>
    <row r="120" spans="1:2">
      <c r="A120"/>
      <c r="B120"/>
    </row>
    <row r="121" spans="1:2">
      <c r="A121"/>
      <c r="B121"/>
    </row>
    <row r="122" spans="1:2">
      <c r="A122"/>
      <c r="B122"/>
    </row>
    <row r="123" spans="1:2">
      <c r="A123"/>
      <c r="B123"/>
    </row>
    <row r="124" spans="1:2">
      <c r="A124"/>
      <c r="B124"/>
    </row>
    <row r="125" spans="1:2">
      <c r="A125"/>
      <c r="B125"/>
    </row>
    <row r="126" spans="1:2">
      <c r="A126"/>
      <c r="B126"/>
    </row>
    <row r="127" spans="1:2">
      <c r="A127"/>
      <c r="B127"/>
    </row>
    <row r="128" spans="1:2">
      <c r="A128"/>
      <c r="B128"/>
    </row>
    <row r="129" spans="1:2">
      <c r="A129"/>
      <c r="B129"/>
    </row>
    <row r="130" spans="1:2">
      <c r="A130"/>
      <c r="B130"/>
    </row>
    <row r="131" spans="1:2">
      <c r="A131"/>
      <c r="B131"/>
    </row>
    <row r="132" spans="1:2">
      <c r="A132"/>
      <c r="B132"/>
    </row>
    <row r="133" spans="1:2">
      <c r="A133"/>
      <c r="B133"/>
    </row>
    <row r="134" spans="1:2">
      <c r="A134"/>
      <c r="B134"/>
    </row>
    <row r="135" spans="1:2">
      <c r="A135"/>
      <c r="B135"/>
    </row>
    <row r="136" spans="1:2">
      <c r="A136"/>
      <c r="B136"/>
    </row>
    <row r="137" spans="1:2">
      <c r="A137"/>
      <c r="B137"/>
    </row>
    <row r="138" spans="1:2">
      <c r="A138"/>
      <c r="B138"/>
    </row>
    <row r="139" spans="1:2">
      <c r="A139"/>
      <c r="B139"/>
    </row>
    <row r="140" spans="1:2">
      <c r="A140"/>
      <c r="B140"/>
    </row>
    <row r="141" spans="1:2">
      <c r="A141"/>
      <c r="B141"/>
    </row>
    <row r="142" spans="1:2">
      <c r="A142"/>
      <c r="B142"/>
    </row>
    <row r="143" spans="1:2">
      <c r="A143"/>
      <c r="B143"/>
    </row>
    <row r="144" spans="1:2">
      <c r="A144"/>
      <c r="B144"/>
    </row>
    <row r="145" spans="1:2">
      <c r="A145"/>
      <c r="B145"/>
    </row>
    <row r="146" spans="1:2">
      <c r="A146"/>
      <c r="B146"/>
    </row>
    <row r="147" spans="1:2">
      <c r="A147"/>
      <c r="B147"/>
    </row>
    <row r="148" spans="1:2">
      <c r="A148"/>
      <c r="B148"/>
    </row>
    <row r="149" spans="1:2">
      <c r="A149"/>
      <c r="B149"/>
    </row>
    <row r="150" spans="1:2">
      <c r="A150"/>
      <c r="B150"/>
    </row>
    <row r="151" spans="1:2">
      <c r="A151"/>
      <c r="B151"/>
    </row>
    <row r="152" spans="1:2">
      <c r="A152"/>
      <c r="B152"/>
    </row>
    <row r="153" spans="1:2">
      <c r="A153"/>
      <c r="B153"/>
    </row>
    <row r="154" spans="1:2">
      <c r="A154"/>
      <c r="B154"/>
    </row>
    <row r="155" spans="1:2">
      <c r="A155"/>
      <c r="B155"/>
    </row>
    <row r="156" spans="1:2">
      <c r="A156"/>
      <c r="B156"/>
    </row>
    <row r="157" spans="1:2">
      <c r="A157"/>
      <c r="B157"/>
    </row>
    <row r="158" spans="1:2">
      <c r="A158"/>
      <c r="B158"/>
    </row>
    <row r="159" spans="1:2">
      <c r="A159"/>
      <c r="B159"/>
    </row>
    <row r="160" spans="1:2">
      <c r="A160"/>
      <c r="B160"/>
    </row>
    <row r="161" spans="1:2">
      <c r="A161"/>
      <c r="B161"/>
    </row>
    <row r="162" spans="1:2">
      <c r="A162"/>
      <c r="B162"/>
    </row>
    <row r="163" spans="1:2">
      <c r="A163"/>
      <c r="B163"/>
    </row>
    <row r="164" spans="1:2">
      <c r="A164"/>
      <c r="B164"/>
    </row>
    <row r="165" spans="1:2">
      <c r="A165"/>
      <c r="B165"/>
    </row>
    <row r="166" spans="1:2">
      <c r="A166"/>
      <c r="B166"/>
    </row>
    <row r="167" spans="1:2">
      <c r="A167"/>
      <c r="B167"/>
    </row>
    <row r="168" spans="1:2">
      <c r="A168"/>
      <c r="B168"/>
    </row>
    <row r="169" spans="1:2">
      <c r="A169"/>
      <c r="B169"/>
    </row>
    <row r="170" spans="1:2">
      <c r="A170"/>
      <c r="B170"/>
    </row>
    <row r="171" spans="1:2">
      <c r="A171"/>
      <c r="B171"/>
    </row>
    <row r="172" spans="1:2">
      <c r="A172"/>
      <c r="B172"/>
    </row>
    <row r="173" spans="1:2">
      <c r="A173"/>
      <c r="B173"/>
    </row>
    <row r="174" spans="1:2">
      <c r="A174"/>
      <c r="B174"/>
    </row>
    <row r="175" spans="1:2">
      <c r="A175"/>
      <c r="B175"/>
    </row>
    <row r="176" spans="1:2">
      <c r="A176"/>
      <c r="B176"/>
    </row>
    <row r="177" spans="1:2">
      <c r="A177"/>
      <c r="B177"/>
    </row>
    <row r="178" spans="1:2">
      <c r="A178"/>
      <c r="B178"/>
    </row>
    <row r="179" spans="1:2">
      <c r="A179"/>
      <c r="B179"/>
    </row>
    <row r="180" spans="1:2">
      <c r="A180"/>
      <c r="B180"/>
    </row>
    <row r="181" spans="1:2">
      <c r="A181"/>
      <c r="B181"/>
    </row>
    <row r="182" spans="1:2">
      <c r="A182"/>
      <c r="B182"/>
    </row>
    <row r="183" spans="1:2">
      <c r="A183"/>
      <c r="B183"/>
    </row>
    <row r="184" spans="1:2">
      <c r="A184"/>
      <c r="B184"/>
    </row>
    <row r="185" spans="1:2">
      <c r="A185"/>
      <c r="B185"/>
    </row>
    <row r="186" spans="1:2">
      <c r="A186"/>
      <c r="B186"/>
    </row>
    <row r="187" spans="1:2">
      <c r="A187"/>
      <c r="B187"/>
    </row>
    <row r="188" spans="1:2">
      <c r="A188"/>
      <c r="B188"/>
    </row>
    <row r="189" spans="1:2">
      <c r="A189"/>
      <c r="B189"/>
    </row>
    <row r="190" spans="1:2">
      <c r="A190"/>
      <c r="B190"/>
    </row>
    <row r="191" spans="1:2">
      <c r="A191"/>
      <c r="B191"/>
    </row>
    <row r="192" spans="1:2">
      <c r="A192"/>
      <c r="B192"/>
    </row>
    <row r="193" spans="1:2">
      <c r="A193"/>
      <c r="B193"/>
    </row>
    <row r="194" spans="1:2">
      <c r="A194"/>
      <c r="B194"/>
    </row>
    <row r="195" spans="1:2">
      <c r="A195"/>
      <c r="B195"/>
    </row>
    <row r="196" spans="1:2">
      <c r="A196"/>
      <c r="B196"/>
    </row>
    <row r="197" spans="1:2">
      <c r="A197"/>
      <c r="B197"/>
    </row>
    <row r="198" spans="1:2">
      <c r="A198"/>
      <c r="B198"/>
    </row>
    <row r="199" spans="1:2">
      <c r="A199"/>
      <c r="B199"/>
    </row>
    <row r="200" spans="1:2">
      <c r="A200"/>
      <c r="B200"/>
    </row>
    <row r="201" spans="1:2">
      <c r="A201"/>
      <c r="B201"/>
    </row>
    <row r="202" spans="1:2">
      <c r="A202"/>
      <c r="B202"/>
    </row>
    <row r="203" spans="1:2">
      <c r="A203"/>
      <c r="B203"/>
    </row>
    <row r="204" spans="1:2">
      <c r="A204"/>
      <c r="B204"/>
    </row>
    <row r="205" spans="1:2">
      <c r="A205"/>
      <c r="B205"/>
    </row>
    <row r="206" spans="1:2">
      <c r="A206"/>
      <c r="B206"/>
    </row>
    <row r="207" spans="1:2">
      <c r="A207"/>
      <c r="B207"/>
    </row>
    <row r="208" spans="1:2">
      <c r="A208"/>
      <c r="B208"/>
    </row>
    <row r="209" spans="1:2">
      <c r="A209"/>
      <c r="B209"/>
    </row>
    <row r="210" spans="1:2">
      <c r="A210"/>
      <c r="B210"/>
    </row>
    <row r="211" spans="1:2">
      <c r="A211"/>
      <c r="B211"/>
    </row>
    <row r="212" spans="1:2">
      <c r="A212"/>
      <c r="B212"/>
    </row>
    <row r="213" spans="1:2">
      <c r="A213"/>
      <c r="B213"/>
    </row>
    <row r="214" spans="1:2">
      <c r="A214"/>
      <c r="B214"/>
    </row>
    <row r="215" spans="1:2">
      <c r="A215"/>
      <c r="B215"/>
    </row>
    <row r="216" spans="1:2">
      <c r="A216"/>
      <c r="B216"/>
    </row>
    <row r="217" spans="1:2">
      <c r="A217"/>
      <c r="B217"/>
    </row>
    <row r="218" spans="1:2">
      <c r="A218"/>
      <c r="B218"/>
    </row>
    <row r="219" spans="1:2">
      <c r="A219"/>
      <c r="B219"/>
    </row>
    <row r="220" spans="1:2">
      <c r="A220"/>
      <c r="B220"/>
    </row>
    <row r="221" spans="1:2">
      <c r="A221"/>
      <c r="B221"/>
    </row>
    <row r="222" spans="1:2">
      <c r="A222"/>
      <c r="B222"/>
    </row>
    <row r="223" spans="1:2">
      <c r="A223"/>
      <c r="B223"/>
    </row>
    <row r="224" spans="1:2">
      <c r="A224"/>
      <c r="B224"/>
    </row>
    <row r="225" spans="1:2">
      <c r="A225"/>
      <c r="B225"/>
    </row>
    <row r="226" spans="1:2">
      <c r="A226"/>
      <c r="B226"/>
    </row>
    <row r="227" spans="1:2">
      <c r="A227"/>
      <c r="B227"/>
    </row>
    <row r="228" spans="1:2">
      <c r="A228"/>
      <c r="B228"/>
    </row>
    <row r="229" spans="1:2">
      <c r="A229"/>
      <c r="B229"/>
    </row>
    <row r="230" spans="1:2">
      <c r="A230"/>
      <c r="B230"/>
    </row>
    <row r="231" spans="1:2">
      <c r="A231"/>
      <c r="B231"/>
    </row>
    <row r="232" spans="1:2">
      <c r="A232"/>
      <c r="B232"/>
    </row>
    <row r="233" spans="1:2">
      <c r="A233"/>
      <c r="B233"/>
    </row>
    <row r="234" spans="1:2">
      <c r="A234"/>
      <c r="B234"/>
    </row>
    <row r="235" spans="1:2">
      <c r="A235"/>
      <c r="B235"/>
    </row>
    <row r="236" spans="1:2">
      <c r="A236"/>
      <c r="B236"/>
    </row>
    <row r="237" spans="1:2">
      <c r="A237"/>
      <c r="B237"/>
    </row>
    <row r="238" spans="1:2">
      <c r="A238"/>
      <c r="B238"/>
    </row>
    <row r="239" spans="1:2">
      <c r="A239"/>
      <c r="B239"/>
    </row>
    <row r="240" spans="1:2">
      <c r="A240"/>
      <c r="B240"/>
    </row>
    <row r="241" spans="1:2">
      <c r="A241"/>
      <c r="B241"/>
    </row>
    <row r="242" spans="1:2">
      <c r="A242"/>
      <c r="B242"/>
    </row>
  </sheetData>
  <conditionalFormatting sqref="A1 D1:E1">
    <cfRule type="duplicateValues" dxfId="41" priority="3"/>
  </conditionalFormatting>
  <conditionalFormatting sqref="A2:A30">
    <cfRule type="duplicateValues" dxfId="40" priority="22"/>
  </conditionalFormatting>
  <conditionalFormatting sqref="A243:B1048576 C9:XFD1048576 H2:XFD8">
    <cfRule type="duplicateValues" dxfId="39" priority="11"/>
  </conditionalFormatting>
  <conditionalFormatting sqref="A1:G1">
    <cfRule type="duplicateValues" dxfId="38" priority="4"/>
  </conditionalFormatting>
  <conditionalFormatting sqref="B2:B8">
    <cfRule type="duplicateValues" dxfId="37" priority="2"/>
  </conditionalFormatting>
  <conditionalFormatting sqref="C2:G8">
    <cfRule type="duplicateValues" dxfId="36" priority="1"/>
  </conditionalFormatting>
  <conditionalFormatting sqref="H1:XFD1">
    <cfRule type="duplicateValues" dxfId="35" priority="7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FD283B3-49C1-438A-93EF-53791EB95C96}">
          <x14:formula1>
            <xm:f>'واحد تجاری'!$A:$A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7B6B5-284A-4343-93FA-8D3F66B09A78}">
  <sheetPr>
    <tabColor theme="5" tint="0.39997558519241921"/>
  </sheetPr>
  <dimension ref="A1:D2"/>
  <sheetViews>
    <sheetView rightToLeft="1" workbookViewId="0">
      <selection activeCell="A2" sqref="A2"/>
    </sheetView>
  </sheetViews>
  <sheetFormatPr defaultRowHeight="14.4"/>
  <cols>
    <col min="1" max="1" width="21.88671875" customWidth="1"/>
    <col min="2" max="2" width="20.88671875" customWidth="1"/>
    <col min="3" max="3" width="13.6640625" customWidth="1"/>
    <col min="4" max="4" width="21.44140625" customWidth="1"/>
  </cols>
  <sheetData>
    <row r="1" spans="1:4" ht="18.600000000000001">
      <c r="A1" s="20" t="s">
        <v>66</v>
      </c>
      <c r="B1" s="21" t="s">
        <v>54</v>
      </c>
      <c r="C1" s="21" t="s">
        <v>55</v>
      </c>
      <c r="D1" s="20" t="s">
        <v>56</v>
      </c>
    </row>
    <row r="2" spans="1:4">
      <c r="A2" t="s">
        <v>6</v>
      </c>
      <c r="B2" s="15" t="s">
        <v>138</v>
      </c>
      <c r="C2" s="15" t="s">
        <v>139</v>
      </c>
      <c r="D2" s="15" t="s">
        <v>140</v>
      </c>
    </row>
  </sheetData>
  <conditionalFormatting sqref="A1 D1">
    <cfRule type="duplicateValues" dxfId="34" priority="1"/>
  </conditionalFormatting>
  <conditionalFormatting sqref="A1:D1">
    <cfRule type="duplicateValues" dxfId="33" priority="2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497E0ED-19C3-4DA1-A228-A80B98064429}">
          <x14:formula1>
            <xm:f>'واحد تجاری'!$A:$A</xm:f>
          </x14:formula1>
          <xm:sqref>A2:A1048576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FBA5A-4943-40CB-8395-229763599985}">
  <sheetPr>
    <tabColor theme="5" tint="0.39997558519241921"/>
  </sheetPr>
  <dimension ref="A1:D3"/>
  <sheetViews>
    <sheetView rightToLeft="1" workbookViewId="0">
      <selection activeCell="A3" sqref="A3"/>
    </sheetView>
  </sheetViews>
  <sheetFormatPr defaultRowHeight="14.4"/>
  <cols>
    <col min="1" max="1" width="17.5546875" customWidth="1"/>
    <col min="2" max="2" width="18.5546875" customWidth="1"/>
    <col min="3" max="3" width="24.21875" customWidth="1"/>
  </cols>
  <sheetData>
    <row r="1" spans="1:4" ht="18.600000000000001">
      <c r="A1" s="20" t="s">
        <v>66</v>
      </c>
      <c r="B1" s="21" t="s">
        <v>63</v>
      </c>
      <c r="C1" s="21" t="s">
        <v>64</v>
      </c>
      <c r="D1" s="21" t="s">
        <v>56</v>
      </c>
    </row>
    <row r="2" spans="1:4">
      <c r="A2" t="s">
        <v>6</v>
      </c>
      <c r="B2" s="15" t="s">
        <v>141</v>
      </c>
      <c r="C2" s="15" t="s">
        <v>142</v>
      </c>
      <c r="D2" s="15" t="s">
        <v>140</v>
      </c>
    </row>
    <row r="3" spans="1:4">
      <c r="A3" t="s">
        <v>6</v>
      </c>
      <c r="B3" s="15" t="s">
        <v>143</v>
      </c>
      <c r="C3" s="15" t="s">
        <v>144</v>
      </c>
      <c r="D3" s="15" t="s">
        <v>145</v>
      </c>
    </row>
  </sheetData>
  <conditionalFormatting sqref="A1">
    <cfRule type="duplicateValues" dxfId="32" priority="2"/>
  </conditionalFormatting>
  <conditionalFormatting sqref="A1:D1">
    <cfRule type="duplicateValues" dxfId="31" priority="6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44A47F2-05FC-45A7-B273-36A4BDD3078C}">
          <x14:formula1>
            <xm:f>'واحد تجاری'!$A:$A</xm:f>
          </x14:formula1>
          <xm:sqref>A2:A1048576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C30C7-704C-46E1-8211-6209BEA06445}">
  <sheetPr>
    <tabColor theme="5" tint="0.39997558519241921"/>
  </sheetPr>
  <dimension ref="A1:C49"/>
  <sheetViews>
    <sheetView rightToLeft="1" workbookViewId="0">
      <selection activeCell="A4" sqref="A4"/>
    </sheetView>
  </sheetViews>
  <sheetFormatPr defaultColWidth="9.109375" defaultRowHeight="14.4"/>
  <cols>
    <col min="1" max="1" width="13.77734375" style="1" customWidth="1"/>
    <col min="2" max="2" width="60.109375" style="1" bestFit="1" customWidth="1"/>
    <col min="3" max="3" width="15.5546875" style="1" customWidth="1"/>
    <col min="4" max="16384" width="9.109375" style="1"/>
  </cols>
  <sheetData>
    <row r="1" spans="1:3" ht="16.8">
      <c r="A1" s="16" t="s">
        <v>66</v>
      </c>
      <c r="B1" s="16" t="s">
        <v>2</v>
      </c>
      <c r="C1" s="16" t="s">
        <v>32</v>
      </c>
    </row>
    <row r="2" spans="1:3">
      <c r="A2" s="8" t="s">
        <v>6</v>
      </c>
      <c r="B2" s="15" t="s">
        <v>146</v>
      </c>
      <c r="C2" s="15" t="s">
        <v>147</v>
      </c>
    </row>
    <row r="3" spans="1:3">
      <c r="A3" s="8" t="s">
        <v>6</v>
      </c>
      <c r="B3" s="24" t="s">
        <v>148</v>
      </c>
      <c r="C3" s="15" t="s">
        <v>149</v>
      </c>
    </row>
    <row r="4" spans="1:3">
      <c r="A4" s="8" t="s">
        <v>6</v>
      </c>
      <c r="B4" s="24" t="s">
        <v>150</v>
      </c>
      <c r="C4" s="15" t="s">
        <v>151</v>
      </c>
    </row>
    <row r="5" spans="1:3">
      <c r="A5" s="8" t="s">
        <v>6</v>
      </c>
      <c r="B5" s="24" t="s">
        <v>152</v>
      </c>
      <c r="C5" s="15" t="s">
        <v>153</v>
      </c>
    </row>
    <row r="6" spans="1:3">
      <c r="A6"/>
      <c r="B6"/>
    </row>
    <row r="7" spans="1:3">
      <c r="A7"/>
      <c r="B7"/>
    </row>
    <row r="8" spans="1:3">
      <c r="A8"/>
      <c r="B8"/>
    </row>
    <row r="9" spans="1:3">
      <c r="A9"/>
      <c r="B9"/>
    </row>
    <row r="10" spans="1:3">
      <c r="A10"/>
      <c r="B10"/>
    </row>
    <row r="11" spans="1:3">
      <c r="A11"/>
      <c r="B11"/>
    </row>
    <row r="12" spans="1:3">
      <c r="A12"/>
      <c r="B12"/>
    </row>
    <row r="13" spans="1:3">
      <c r="A13"/>
      <c r="B13"/>
    </row>
    <row r="14" spans="1:3">
      <c r="A14"/>
      <c r="B14"/>
    </row>
    <row r="15" spans="1:3">
      <c r="A15"/>
      <c r="B15"/>
    </row>
    <row r="16" spans="1:3">
      <c r="A16"/>
      <c r="B16"/>
    </row>
    <row r="17" spans="1:2">
      <c r="A17"/>
      <c r="B17"/>
    </row>
    <row r="18" spans="1:2">
      <c r="A18"/>
      <c r="B18"/>
    </row>
    <row r="19" spans="1:2">
      <c r="A19"/>
      <c r="B19"/>
    </row>
    <row r="20" spans="1:2">
      <c r="A20"/>
      <c r="B20"/>
    </row>
    <row r="21" spans="1:2">
      <c r="A21"/>
      <c r="B21"/>
    </row>
    <row r="22" spans="1:2">
      <c r="A22"/>
      <c r="B22"/>
    </row>
    <row r="23" spans="1:2">
      <c r="A23"/>
      <c r="B23"/>
    </row>
    <row r="24" spans="1:2">
      <c r="A24"/>
      <c r="B24"/>
    </row>
    <row r="25" spans="1:2">
      <c r="A25"/>
      <c r="B25"/>
    </row>
    <row r="26" spans="1:2">
      <c r="A26"/>
      <c r="B26"/>
    </row>
    <row r="27" spans="1:2">
      <c r="A27"/>
      <c r="B27"/>
    </row>
    <row r="28" spans="1:2">
      <c r="A28"/>
      <c r="B28"/>
    </row>
    <row r="29" spans="1:2">
      <c r="A29"/>
      <c r="B29"/>
    </row>
    <row r="30" spans="1:2">
      <c r="A30"/>
      <c r="B30"/>
    </row>
    <row r="31" spans="1:2">
      <c r="A31"/>
      <c r="B31"/>
    </row>
    <row r="32" spans="1:2">
      <c r="A32"/>
      <c r="B32"/>
    </row>
    <row r="33" spans="1:2">
      <c r="A33"/>
      <c r="B33"/>
    </row>
    <row r="34" spans="1:2">
      <c r="A34"/>
      <c r="B34"/>
    </row>
    <row r="35" spans="1:2">
      <c r="A35"/>
      <c r="B35"/>
    </row>
    <row r="36" spans="1:2">
      <c r="A36"/>
      <c r="B36"/>
    </row>
    <row r="37" spans="1:2">
      <c r="A37"/>
      <c r="B37"/>
    </row>
    <row r="38" spans="1:2">
      <c r="A38"/>
      <c r="B38"/>
    </row>
    <row r="39" spans="1:2">
      <c r="A39"/>
      <c r="B39"/>
    </row>
    <row r="40" spans="1:2">
      <c r="A40"/>
      <c r="B40"/>
    </row>
    <row r="41" spans="1:2">
      <c r="A41"/>
      <c r="B41"/>
    </row>
    <row r="42" spans="1:2">
      <c r="A42"/>
      <c r="B42"/>
    </row>
    <row r="43" spans="1:2">
      <c r="A43"/>
      <c r="B43"/>
    </row>
    <row r="44" spans="1:2">
      <c r="A44"/>
      <c r="B44"/>
    </row>
    <row r="45" spans="1:2">
      <c r="A45"/>
      <c r="B45"/>
    </row>
    <row r="46" spans="1:2">
      <c r="A46"/>
      <c r="B46"/>
    </row>
    <row r="47" spans="1:2">
      <c r="A47"/>
      <c r="B47"/>
    </row>
    <row r="48" spans="1:2">
      <c r="A48"/>
      <c r="B48"/>
    </row>
    <row r="49" spans="1:2">
      <c r="A49"/>
      <c r="B49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971440C-5BD4-45A7-9244-4310A97E914A}">
          <x14:formula1>
            <xm:f>'واحد تجاری'!$A:$A</xm:f>
          </x14:formula1>
          <xm:sqref>A2:A1048576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EA3D2-3B93-4817-ACB7-B9DD26DD4C24}">
  <sheetPr>
    <tabColor theme="5" tint="0.39997558519241921"/>
  </sheetPr>
  <dimension ref="A1:C97"/>
  <sheetViews>
    <sheetView rightToLeft="1" workbookViewId="0">
      <selection activeCell="B11" sqref="B11"/>
    </sheetView>
  </sheetViews>
  <sheetFormatPr defaultColWidth="9.109375" defaultRowHeight="14.4"/>
  <cols>
    <col min="1" max="1" width="13.77734375" style="1" customWidth="1"/>
    <col min="2" max="2" width="51.77734375" style="1" bestFit="1" customWidth="1"/>
    <col min="3" max="3" width="19.5546875" style="1" customWidth="1"/>
    <col min="4" max="16384" width="9.109375" style="1"/>
  </cols>
  <sheetData>
    <row r="1" spans="1:3" ht="16.8">
      <c r="A1" s="16" t="s">
        <v>66</v>
      </c>
      <c r="B1" s="16" t="s">
        <v>1</v>
      </c>
      <c r="C1" s="16" t="s">
        <v>33</v>
      </c>
    </row>
    <row r="2" spans="1:3">
      <c r="A2" s="8" t="s">
        <v>6</v>
      </c>
      <c r="B2" s="15" t="s">
        <v>154</v>
      </c>
      <c r="C2" s="15" t="s">
        <v>155</v>
      </c>
    </row>
    <row r="3" spans="1:3">
      <c r="A3" s="8" t="s">
        <v>6</v>
      </c>
      <c r="B3" s="24" t="s">
        <v>156</v>
      </c>
      <c r="C3" s="15" t="s">
        <v>157</v>
      </c>
    </row>
    <row r="4" spans="1:3">
      <c r="A4" s="8" t="s">
        <v>6</v>
      </c>
      <c r="B4" s="25" t="s">
        <v>158</v>
      </c>
      <c r="C4" s="15" t="s">
        <v>159</v>
      </c>
    </row>
    <row r="5" spans="1:3">
      <c r="A5" s="8" t="s">
        <v>6</v>
      </c>
      <c r="B5" s="24" t="s">
        <v>160</v>
      </c>
      <c r="C5" s="15" t="s">
        <v>161</v>
      </c>
    </row>
    <row r="6" spans="1:3">
      <c r="A6" s="8" t="s">
        <v>6</v>
      </c>
      <c r="B6" s="25" t="s">
        <v>162</v>
      </c>
      <c r="C6" s="15" t="s">
        <v>163</v>
      </c>
    </row>
    <row r="7" spans="1:3">
      <c r="A7" s="8" t="s">
        <v>6</v>
      </c>
      <c r="B7" s="24" t="s">
        <v>164</v>
      </c>
      <c r="C7" s="15" t="s">
        <v>165</v>
      </c>
    </row>
    <row r="8" spans="1:3">
      <c r="A8" s="8" t="s">
        <v>6</v>
      </c>
      <c r="B8" s="25" t="s">
        <v>166</v>
      </c>
      <c r="C8" s="15" t="s">
        <v>167</v>
      </c>
    </row>
    <row r="9" spans="1:3">
      <c r="A9" s="8" t="s">
        <v>6</v>
      </c>
      <c r="B9" s="24" t="s">
        <v>168</v>
      </c>
      <c r="C9" s="15" t="s">
        <v>169</v>
      </c>
    </row>
    <row r="10" spans="1:3">
      <c r="A10"/>
      <c r="B10"/>
    </row>
    <row r="11" spans="1:3">
      <c r="A11"/>
      <c r="B11"/>
    </row>
    <row r="12" spans="1:3">
      <c r="A12"/>
      <c r="B12"/>
    </row>
    <row r="13" spans="1:3">
      <c r="A13"/>
      <c r="B13"/>
    </row>
    <row r="14" spans="1:3">
      <c r="A14"/>
      <c r="B14"/>
    </row>
    <row r="15" spans="1:3">
      <c r="A15"/>
      <c r="B15"/>
    </row>
    <row r="16" spans="1:3">
      <c r="A16"/>
      <c r="B16"/>
    </row>
    <row r="17" spans="1:2">
      <c r="A17"/>
      <c r="B17"/>
    </row>
    <row r="18" spans="1:2">
      <c r="A18"/>
      <c r="B18"/>
    </row>
    <row r="19" spans="1:2">
      <c r="A19"/>
      <c r="B19"/>
    </row>
    <row r="20" spans="1:2">
      <c r="A20"/>
      <c r="B20"/>
    </row>
    <row r="21" spans="1:2">
      <c r="A21"/>
      <c r="B21"/>
    </row>
    <row r="22" spans="1:2">
      <c r="A22"/>
      <c r="B22"/>
    </row>
    <row r="23" spans="1:2">
      <c r="A23"/>
      <c r="B23"/>
    </row>
    <row r="24" spans="1:2">
      <c r="A24"/>
      <c r="B24"/>
    </row>
    <row r="25" spans="1:2">
      <c r="A25"/>
      <c r="B25"/>
    </row>
    <row r="26" spans="1:2">
      <c r="A26"/>
      <c r="B26"/>
    </row>
    <row r="27" spans="1:2">
      <c r="A27"/>
      <c r="B27"/>
    </row>
    <row r="28" spans="1:2">
      <c r="A28"/>
      <c r="B28"/>
    </row>
    <row r="29" spans="1:2">
      <c r="A29"/>
      <c r="B29"/>
    </row>
    <row r="30" spans="1:2">
      <c r="A30"/>
      <c r="B30"/>
    </row>
    <row r="31" spans="1:2">
      <c r="A31"/>
      <c r="B31"/>
    </row>
    <row r="32" spans="1:2">
      <c r="A32"/>
      <c r="B32"/>
    </row>
    <row r="33" spans="1:2">
      <c r="A33"/>
      <c r="B33"/>
    </row>
    <row r="34" spans="1:2">
      <c r="A34"/>
      <c r="B34"/>
    </row>
    <row r="35" spans="1:2">
      <c r="A35"/>
      <c r="B35"/>
    </row>
    <row r="36" spans="1:2">
      <c r="A36"/>
      <c r="B36"/>
    </row>
    <row r="37" spans="1:2">
      <c r="A37"/>
      <c r="B37"/>
    </row>
    <row r="38" spans="1:2">
      <c r="A38"/>
      <c r="B38"/>
    </row>
    <row r="39" spans="1:2">
      <c r="A39"/>
      <c r="B39"/>
    </row>
    <row r="40" spans="1:2">
      <c r="A40"/>
      <c r="B40"/>
    </row>
    <row r="41" spans="1:2">
      <c r="A41"/>
      <c r="B41"/>
    </row>
    <row r="42" spans="1:2">
      <c r="A42"/>
      <c r="B42"/>
    </row>
    <row r="43" spans="1:2">
      <c r="A43"/>
      <c r="B43"/>
    </row>
    <row r="44" spans="1:2">
      <c r="A44"/>
      <c r="B44"/>
    </row>
    <row r="45" spans="1:2">
      <c r="A45"/>
      <c r="B45"/>
    </row>
    <row r="46" spans="1:2">
      <c r="A46"/>
      <c r="B46"/>
    </row>
    <row r="47" spans="1:2">
      <c r="A47"/>
      <c r="B47"/>
    </row>
    <row r="48" spans="1:2">
      <c r="A48"/>
      <c r="B48"/>
    </row>
    <row r="49" spans="1:2">
      <c r="A49"/>
      <c r="B49"/>
    </row>
    <row r="50" spans="1:2">
      <c r="A50"/>
      <c r="B50"/>
    </row>
    <row r="51" spans="1:2">
      <c r="A51"/>
      <c r="B51"/>
    </row>
    <row r="52" spans="1:2">
      <c r="A52"/>
      <c r="B52"/>
    </row>
    <row r="53" spans="1:2">
      <c r="A53"/>
      <c r="B53"/>
    </row>
    <row r="54" spans="1:2">
      <c r="A54"/>
      <c r="B54"/>
    </row>
    <row r="55" spans="1:2">
      <c r="A55"/>
      <c r="B55"/>
    </row>
    <row r="56" spans="1:2">
      <c r="A56"/>
      <c r="B56"/>
    </row>
    <row r="57" spans="1:2">
      <c r="A57"/>
      <c r="B57"/>
    </row>
    <row r="58" spans="1:2">
      <c r="A58"/>
      <c r="B58"/>
    </row>
    <row r="59" spans="1:2">
      <c r="A59"/>
      <c r="B59"/>
    </row>
    <row r="60" spans="1:2">
      <c r="A60"/>
      <c r="B60"/>
    </row>
    <row r="61" spans="1:2">
      <c r="A61"/>
      <c r="B61"/>
    </row>
    <row r="62" spans="1:2">
      <c r="A62"/>
      <c r="B62"/>
    </row>
    <row r="63" spans="1:2">
      <c r="A63"/>
      <c r="B63"/>
    </row>
    <row r="64" spans="1:2">
      <c r="A64"/>
      <c r="B64"/>
    </row>
    <row r="65" spans="1:2">
      <c r="A65"/>
      <c r="B65"/>
    </row>
    <row r="66" spans="1:2">
      <c r="A66"/>
      <c r="B66"/>
    </row>
    <row r="67" spans="1:2">
      <c r="A67"/>
      <c r="B67"/>
    </row>
    <row r="68" spans="1:2">
      <c r="A68"/>
      <c r="B68"/>
    </row>
    <row r="69" spans="1:2">
      <c r="A69"/>
      <c r="B69"/>
    </row>
    <row r="70" spans="1:2">
      <c r="A70"/>
      <c r="B70"/>
    </row>
    <row r="71" spans="1:2">
      <c r="A71"/>
      <c r="B71"/>
    </row>
    <row r="72" spans="1:2">
      <c r="A72"/>
      <c r="B72"/>
    </row>
    <row r="73" spans="1:2">
      <c r="A73"/>
      <c r="B73"/>
    </row>
    <row r="74" spans="1:2">
      <c r="A74"/>
      <c r="B74"/>
    </row>
    <row r="75" spans="1:2">
      <c r="A75"/>
      <c r="B75"/>
    </row>
    <row r="76" spans="1:2">
      <c r="A76"/>
      <c r="B76"/>
    </row>
    <row r="77" spans="1:2">
      <c r="A77"/>
      <c r="B77"/>
    </row>
    <row r="78" spans="1:2">
      <c r="A78"/>
      <c r="B78"/>
    </row>
    <row r="79" spans="1:2">
      <c r="A79"/>
      <c r="B79"/>
    </row>
    <row r="80" spans="1:2">
      <c r="A80"/>
      <c r="B80"/>
    </row>
    <row r="81" spans="1:2">
      <c r="A81"/>
      <c r="B81"/>
    </row>
    <row r="82" spans="1:2">
      <c r="A82"/>
      <c r="B82"/>
    </row>
    <row r="83" spans="1:2">
      <c r="A83"/>
      <c r="B83"/>
    </row>
    <row r="84" spans="1:2">
      <c r="A84"/>
      <c r="B84"/>
    </row>
    <row r="85" spans="1:2">
      <c r="A85"/>
      <c r="B85"/>
    </row>
    <row r="86" spans="1:2">
      <c r="A86"/>
      <c r="B86"/>
    </row>
    <row r="87" spans="1:2">
      <c r="A87"/>
      <c r="B87"/>
    </row>
    <row r="88" spans="1:2">
      <c r="A88"/>
      <c r="B88"/>
    </row>
    <row r="89" spans="1:2">
      <c r="A89"/>
      <c r="B89"/>
    </row>
    <row r="90" spans="1:2">
      <c r="A90"/>
      <c r="B90"/>
    </row>
    <row r="91" spans="1:2">
      <c r="A91"/>
      <c r="B91"/>
    </row>
    <row r="92" spans="1:2">
      <c r="A92"/>
      <c r="B92"/>
    </row>
    <row r="93" spans="1:2">
      <c r="A93"/>
      <c r="B93"/>
    </row>
    <row r="94" spans="1:2">
      <c r="A94"/>
      <c r="B94"/>
    </row>
    <row r="95" spans="1:2">
      <c r="A95"/>
      <c r="B95"/>
    </row>
    <row r="96" spans="1:2">
      <c r="A96"/>
      <c r="B96"/>
    </row>
    <row r="97" spans="1:2">
      <c r="A97"/>
      <c r="B97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7999778-C291-4AC6-B7C6-BED44B63AB63}">
          <x14:formula1>
            <xm:f>'واحد تجاری'!$A:$A</xm:f>
          </x14:formula1>
          <xm:sqref>A2:A1048576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6EE19-EE5E-458F-A91C-DBFB72452F3D}">
  <sheetPr>
    <tabColor theme="5" tint="0.39997558519241921"/>
  </sheetPr>
  <dimension ref="A1:D110"/>
  <sheetViews>
    <sheetView rightToLeft="1" topLeftCell="A45" workbookViewId="0">
      <selection activeCell="I2" sqref="I2"/>
    </sheetView>
  </sheetViews>
  <sheetFormatPr defaultColWidth="9.109375" defaultRowHeight="14.4"/>
  <cols>
    <col min="1" max="1" width="13.77734375" style="1" customWidth="1"/>
    <col min="2" max="2" width="37.88671875" style="2" customWidth="1"/>
    <col min="3" max="3" width="11.88671875" style="1" bestFit="1" customWidth="1"/>
    <col min="4" max="4" width="20.88671875" style="1" customWidth="1"/>
    <col min="5" max="16384" width="9.109375" style="1"/>
  </cols>
  <sheetData>
    <row r="1" spans="1:4" s="19" customFormat="1" ht="16.8">
      <c r="A1" s="16" t="s">
        <v>66</v>
      </c>
      <c r="B1" s="17" t="s">
        <v>8</v>
      </c>
      <c r="C1" s="18" t="s">
        <v>65</v>
      </c>
      <c r="D1" s="18" t="s">
        <v>170</v>
      </c>
    </row>
    <row r="2" spans="1:4">
      <c r="A2" s="8" t="s">
        <v>6</v>
      </c>
      <c r="B2" s="15" t="s">
        <v>171</v>
      </c>
      <c r="C2" s="1" t="s">
        <v>172</v>
      </c>
    </row>
    <row r="3" spans="1:4" ht="22.8">
      <c r="A3" s="8" t="s">
        <v>6</v>
      </c>
      <c r="B3" s="15" t="s">
        <v>173</v>
      </c>
      <c r="C3" s="1" t="s">
        <v>262</v>
      </c>
    </row>
    <row r="4" spans="1:4">
      <c r="A4" s="8" t="s">
        <v>6</v>
      </c>
      <c r="B4" s="15" t="s">
        <v>174</v>
      </c>
      <c r="C4" s="1" t="s">
        <v>263</v>
      </c>
    </row>
    <row r="5" spans="1:4">
      <c r="A5" s="8" t="s">
        <v>6</v>
      </c>
      <c r="B5" s="15" t="s">
        <v>175</v>
      </c>
      <c r="C5" s="1" t="s">
        <v>264</v>
      </c>
    </row>
    <row r="6" spans="1:4" ht="22.8">
      <c r="A6" s="8" t="s">
        <v>6</v>
      </c>
      <c r="B6" s="15" t="s">
        <v>176</v>
      </c>
      <c r="C6" s="1" t="s">
        <v>265</v>
      </c>
    </row>
    <row r="7" spans="1:4" ht="22.8">
      <c r="A7" s="8" t="s">
        <v>6</v>
      </c>
      <c r="B7" s="15" t="s">
        <v>177</v>
      </c>
      <c r="C7" s="1" t="s">
        <v>266</v>
      </c>
    </row>
    <row r="8" spans="1:4">
      <c r="A8" s="8" t="s">
        <v>6</v>
      </c>
      <c r="B8" s="15" t="s">
        <v>178</v>
      </c>
      <c r="C8" s="1" t="s">
        <v>267</v>
      </c>
    </row>
    <row r="9" spans="1:4">
      <c r="A9" s="8" t="s">
        <v>6</v>
      </c>
      <c r="B9" s="15" t="s">
        <v>179</v>
      </c>
      <c r="C9" s="1" t="s">
        <v>268</v>
      </c>
    </row>
    <row r="10" spans="1:4">
      <c r="A10" s="8" t="s">
        <v>6</v>
      </c>
      <c r="B10" s="15" t="s">
        <v>180</v>
      </c>
      <c r="C10" s="1" t="s">
        <v>269</v>
      </c>
    </row>
    <row r="11" spans="1:4">
      <c r="A11" s="8" t="s">
        <v>6</v>
      </c>
      <c r="B11" s="15" t="s">
        <v>181</v>
      </c>
      <c r="C11" s="1" t="s">
        <v>270</v>
      </c>
    </row>
    <row r="12" spans="1:4">
      <c r="A12" s="8" t="s">
        <v>6</v>
      </c>
      <c r="B12" s="15" t="s">
        <v>182</v>
      </c>
      <c r="C12" s="1" t="s">
        <v>271</v>
      </c>
    </row>
    <row r="13" spans="1:4">
      <c r="A13" s="8" t="s">
        <v>6</v>
      </c>
      <c r="B13" s="15" t="s">
        <v>183</v>
      </c>
      <c r="C13" s="1" t="s">
        <v>272</v>
      </c>
    </row>
    <row r="14" spans="1:4">
      <c r="A14" s="8" t="s">
        <v>6</v>
      </c>
      <c r="B14" s="15" t="s">
        <v>184</v>
      </c>
      <c r="C14" s="1" t="s">
        <v>273</v>
      </c>
    </row>
    <row r="15" spans="1:4">
      <c r="A15" s="8" t="s">
        <v>6</v>
      </c>
      <c r="B15" s="15" t="s">
        <v>185</v>
      </c>
      <c r="C15" s="1" t="s">
        <v>274</v>
      </c>
    </row>
    <row r="16" spans="1:4">
      <c r="A16" s="8" t="s">
        <v>6</v>
      </c>
      <c r="B16" s="15" t="s">
        <v>186</v>
      </c>
      <c r="C16" s="1" t="s">
        <v>275</v>
      </c>
    </row>
    <row r="17" spans="1:3">
      <c r="A17" s="8" t="s">
        <v>6</v>
      </c>
      <c r="B17" s="15" t="s">
        <v>187</v>
      </c>
      <c r="C17" s="1" t="s">
        <v>276</v>
      </c>
    </row>
    <row r="18" spans="1:3">
      <c r="A18" s="8" t="s">
        <v>6</v>
      </c>
      <c r="B18" s="15" t="s">
        <v>188</v>
      </c>
      <c r="C18" s="1" t="s">
        <v>277</v>
      </c>
    </row>
    <row r="19" spans="1:3">
      <c r="A19" s="8" t="s">
        <v>6</v>
      </c>
      <c r="B19" s="15" t="s">
        <v>189</v>
      </c>
      <c r="C19" s="1" t="s">
        <v>278</v>
      </c>
    </row>
    <row r="20" spans="1:3">
      <c r="A20" s="8" t="s">
        <v>6</v>
      </c>
      <c r="B20" s="15" t="s">
        <v>190</v>
      </c>
      <c r="C20" s="1" t="s">
        <v>279</v>
      </c>
    </row>
    <row r="21" spans="1:3">
      <c r="A21" s="8" t="s">
        <v>6</v>
      </c>
      <c r="B21" s="15" t="s">
        <v>191</v>
      </c>
      <c r="C21" s="1" t="s">
        <v>280</v>
      </c>
    </row>
    <row r="22" spans="1:3">
      <c r="A22" s="8" t="s">
        <v>6</v>
      </c>
      <c r="B22" s="15" t="s">
        <v>192</v>
      </c>
      <c r="C22" s="1" t="s">
        <v>281</v>
      </c>
    </row>
    <row r="23" spans="1:3">
      <c r="A23" s="8" t="s">
        <v>6</v>
      </c>
      <c r="B23" s="15" t="s">
        <v>193</v>
      </c>
      <c r="C23" s="1" t="s">
        <v>282</v>
      </c>
    </row>
    <row r="24" spans="1:3">
      <c r="A24" s="8" t="s">
        <v>6</v>
      </c>
      <c r="B24" s="15" t="s">
        <v>194</v>
      </c>
      <c r="C24" s="1" t="s">
        <v>283</v>
      </c>
    </row>
    <row r="25" spans="1:3">
      <c r="A25" s="8" t="s">
        <v>6</v>
      </c>
      <c r="B25" s="15" t="s">
        <v>195</v>
      </c>
      <c r="C25" s="1" t="s">
        <v>284</v>
      </c>
    </row>
    <row r="26" spans="1:3">
      <c r="A26" s="8" t="s">
        <v>6</v>
      </c>
      <c r="B26" s="15" t="s">
        <v>196</v>
      </c>
      <c r="C26" s="1" t="s">
        <v>285</v>
      </c>
    </row>
    <row r="27" spans="1:3">
      <c r="A27" s="8" t="s">
        <v>6</v>
      </c>
      <c r="B27" s="15" t="s">
        <v>197</v>
      </c>
      <c r="C27" s="1" t="s">
        <v>286</v>
      </c>
    </row>
    <row r="28" spans="1:3">
      <c r="A28" s="8" t="s">
        <v>6</v>
      </c>
      <c r="B28" s="15" t="s">
        <v>198</v>
      </c>
      <c r="C28" s="1" t="s">
        <v>287</v>
      </c>
    </row>
    <row r="29" spans="1:3">
      <c r="A29" s="8" t="s">
        <v>6</v>
      </c>
      <c r="B29" s="15" t="s">
        <v>199</v>
      </c>
      <c r="C29" s="1" t="s">
        <v>288</v>
      </c>
    </row>
    <row r="30" spans="1:3">
      <c r="A30" s="8" t="s">
        <v>6</v>
      </c>
      <c r="B30" s="15" t="s">
        <v>200</v>
      </c>
      <c r="C30" s="1" t="s">
        <v>289</v>
      </c>
    </row>
    <row r="31" spans="1:3">
      <c r="A31" s="8" t="s">
        <v>6</v>
      </c>
      <c r="B31" s="15" t="s">
        <v>201</v>
      </c>
      <c r="C31" s="1" t="s">
        <v>290</v>
      </c>
    </row>
    <row r="32" spans="1:3">
      <c r="A32" s="8" t="s">
        <v>6</v>
      </c>
      <c r="B32" s="15" t="s">
        <v>202</v>
      </c>
      <c r="C32" s="1" t="s">
        <v>291</v>
      </c>
    </row>
    <row r="33" spans="1:4">
      <c r="A33" s="8" t="s">
        <v>6</v>
      </c>
      <c r="B33" s="15" t="s">
        <v>203</v>
      </c>
      <c r="C33" s="1" t="s">
        <v>292</v>
      </c>
    </row>
    <row r="34" spans="1:4">
      <c r="A34" s="8" t="s">
        <v>6</v>
      </c>
      <c r="B34" s="8" t="s">
        <v>204</v>
      </c>
      <c r="C34" s="1" t="s">
        <v>293</v>
      </c>
      <c r="D34" s="8"/>
    </row>
    <row r="35" spans="1:4">
      <c r="A35" s="8" t="s">
        <v>6</v>
      </c>
      <c r="B35" s="26" t="s">
        <v>205</v>
      </c>
      <c r="C35" s="1" t="s">
        <v>294</v>
      </c>
    </row>
    <row r="36" spans="1:4" ht="24">
      <c r="A36" s="8" t="s">
        <v>6</v>
      </c>
      <c r="B36" s="26" t="s">
        <v>206</v>
      </c>
      <c r="C36" s="1" t="s">
        <v>295</v>
      </c>
    </row>
    <row r="37" spans="1:4" ht="24">
      <c r="A37" s="8" t="s">
        <v>6</v>
      </c>
      <c r="B37" s="26" t="s">
        <v>207</v>
      </c>
      <c r="C37" s="1" t="s">
        <v>296</v>
      </c>
    </row>
    <row r="38" spans="1:4">
      <c r="A38" s="8" t="s">
        <v>6</v>
      </c>
      <c r="B38" s="26" t="s">
        <v>208</v>
      </c>
      <c r="C38" s="1" t="s">
        <v>297</v>
      </c>
    </row>
    <row r="39" spans="1:4">
      <c r="A39" s="8" t="s">
        <v>6</v>
      </c>
      <c r="B39" s="26" t="s">
        <v>209</v>
      </c>
      <c r="C39" s="1" t="s">
        <v>298</v>
      </c>
    </row>
    <row r="40" spans="1:4">
      <c r="A40" s="8" t="s">
        <v>6</v>
      </c>
      <c r="B40" s="26" t="s">
        <v>210</v>
      </c>
      <c r="C40" s="1" t="s">
        <v>299</v>
      </c>
    </row>
    <row r="41" spans="1:4">
      <c r="A41" s="8" t="s">
        <v>6</v>
      </c>
      <c r="B41" s="26" t="s">
        <v>211</v>
      </c>
      <c r="C41" s="1" t="s">
        <v>300</v>
      </c>
    </row>
    <row r="42" spans="1:4">
      <c r="A42" s="8" t="s">
        <v>6</v>
      </c>
      <c r="B42" s="26" t="s">
        <v>212</v>
      </c>
      <c r="C42" s="1" t="s">
        <v>301</v>
      </c>
    </row>
    <row r="43" spans="1:4">
      <c r="A43" s="8" t="s">
        <v>6</v>
      </c>
      <c r="B43" s="26" t="s">
        <v>213</v>
      </c>
      <c r="C43" s="1" t="s">
        <v>302</v>
      </c>
    </row>
    <row r="44" spans="1:4">
      <c r="A44" s="8" t="s">
        <v>6</v>
      </c>
      <c r="B44" s="26" t="s">
        <v>214</v>
      </c>
      <c r="C44" s="1" t="s">
        <v>303</v>
      </c>
    </row>
    <row r="45" spans="1:4">
      <c r="A45" s="8" t="s">
        <v>6</v>
      </c>
      <c r="B45" s="26" t="s">
        <v>215</v>
      </c>
      <c r="C45" s="1" t="s">
        <v>304</v>
      </c>
    </row>
    <row r="46" spans="1:4">
      <c r="A46" s="8" t="s">
        <v>6</v>
      </c>
      <c r="B46" s="26" t="s">
        <v>216</v>
      </c>
      <c r="C46" s="1" t="s">
        <v>305</v>
      </c>
    </row>
    <row r="47" spans="1:4">
      <c r="A47" s="8" t="s">
        <v>6</v>
      </c>
      <c r="B47" s="26" t="s">
        <v>217</v>
      </c>
      <c r="C47" s="1" t="s">
        <v>306</v>
      </c>
    </row>
    <row r="48" spans="1:4">
      <c r="A48" s="8" t="s">
        <v>6</v>
      </c>
      <c r="B48" s="26" t="s">
        <v>218</v>
      </c>
      <c r="C48" s="1" t="s">
        <v>307</v>
      </c>
    </row>
    <row r="49" spans="1:3">
      <c r="A49" s="8" t="s">
        <v>6</v>
      </c>
      <c r="B49" s="26" t="s">
        <v>219</v>
      </c>
      <c r="C49" s="1" t="s">
        <v>308</v>
      </c>
    </row>
    <row r="50" spans="1:3">
      <c r="A50" s="8" t="s">
        <v>6</v>
      </c>
      <c r="B50" s="26" t="s">
        <v>220</v>
      </c>
      <c r="C50" s="1" t="s">
        <v>309</v>
      </c>
    </row>
    <row r="51" spans="1:3">
      <c r="A51" s="8" t="s">
        <v>6</v>
      </c>
      <c r="B51" s="26" t="s">
        <v>221</v>
      </c>
      <c r="C51" s="1" t="s">
        <v>310</v>
      </c>
    </row>
    <row r="52" spans="1:3">
      <c r="A52" s="8" t="s">
        <v>6</v>
      </c>
      <c r="B52" s="27" t="s">
        <v>222</v>
      </c>
      <c r="C52" s="1" t="s">
        <v>311</v>
      </c>
    </row>
    <row r="53" spans="1:3">
      <c r="A53"/>
      <c r="B53"/>
    </row>
    <row r="54" spans="1:3">
      <c r="A54"/>
      <c r="B54"/>
    </row>
    <row r="55" spans="1:3">
      <c r="A55"/>
      <c r="B55"/>
    </row>
    <row r="56" spans="1:3">
      <c r="A56"/>
      <c r="B56"/>
    </row>
    <row r="57" spans="1:3">
      <c r="A57"/>
      <c r="B57"/>
    </row>
    <row r="58" spans="1:3">
      <c r="A58"/>
      <c r="B58"/>
    </row>
    <row r="59" spans="1:3">
      <c r="A59"/>
      <c r="B59"/>
    </row>
    <row r="60" spans="1:3">
      <c r="A60"/>
      <c r="B60"/>
    </row>
    <row r="61" spans="1:3">
      <c r="A61"/>
      <c r="B61"/>
    </row>
    <row r="62" spans="1:3">
      <c r="A62"/>
      <c r="B62"/>
    </row>
    <row r="63" spans="1:3">
      <c r="A63"/>
      <c r="B63"/>
    </row>
    <row r="64" spans="1:3">
      <c r="A64"/>
      <c r="B64"/>
    </row>
    <row r="65" spans="1:2">
      <c r="A65"/>
      <c r="B65"/>
    </row>
    <row r="66" spans="1:2">
      <c r="A66"/>
      <c r="B66"/>
    </row>
    <row r="67" spans="1:2">
      <c r="A67"/>
      <c r="B67"/>
    </row>
    <row r="68" spans="1:2">
      <c r="A68"/>
      <c r="B68"/>
    </row>
    <row r="69" spans="1:2">
      <c r="A69"/>
      <c r="B69"/>
    </row>
    <row r="70" spans="1:2">
      <c r="A70"/>
      <c r="B70"/>
    </row>
    <row r="71" spans="1:2">
      <c r="A71"/>
      <c r="B71"/>
    </row>
    <row r="72" spans="1:2">
      <c r="A72"/>
      <c r="B72"/>
    </row>
    <row r="73" spans="1:2">
      <c r="A73"/>
      <c r="B73"/>
    </row>
    <row r="74" spans="1:2">
      <c r="A74"/>
      <c r="B74"/>
    </row>
    <row r="75" spans="1:2">
      <c r="A75"/>
      <c r="B75"/>
    </row>
    <row r="76" spans="1:2">
      <c r="A76"/>
      <c r="B76"/>
    </row>
    <row r="77" spans="1:2">
      <c r="A77"/>
      <c r="B77"/>
    </row>
    <row r="78" spans="1:2">
      <c r="A78"/>
      <c r="B78"/>
    </row>
    <row r="79" spans="1:2">
      <c r="A79"/>
      <c r="B79"/>
    </row>
    <row r="80" spans="1:2">
      <c r="A80"/>
      <c r="B80"/>
    </row>
    <row r="81" spans="1:2">
      <c r="A81"/>
      <c r="B81"/>
    </row>
    <row r="82" spans="1:2">
      <c r="A82"/>
      <c r="B82"/>
    </row>
    <row r="83" spans="1:2">
      <c r="A83"/>
      <c r="B83"/>
    </row>
    <row r="84" spans="1:2">
      <c r="A84"/>
      <c r="B84"/>
    </row>
    <row r="85" spans="1:2">
      <c r="A85"/>
      <c r="B85"/>
    </row>
    <row r="86" spans="1:2">
      <c r="A86"/>
      <c r="B86"/>
    </row>
    <row r="87" spans="1:2">
      <c r="A87"/>
      <c r="B87"/>
    </row>
    <row r="88" spans="1:2">
      <c r="A88"/>
      <c r="B88"/>
    </row>
    <row r="89" spans="1:2">
      <c r="A89"/>
      <c r="B89"/>
    </row>
    <row r="90" spans="1:2">
      <c r="A90"/>
      <c r="B90"/>
    </row>
    <row r="91" spans="1:2">
      <c r="A91"/>
      <c r="B91"/>
    </row>
    <row r="92" spans="1:2">
      <c r="A92"/>
      <c r="B92"/>
    </row>
    <row r="93" spans="1:2">
      <c r="A93"/>
      <c r="B93"/>
    </row>
    <row r="94" spans="1:2">
      <c r="A94"/>
      <c r="B94"/>
    </row>
    <row r="95" spans="1:2">
      <c r="A95"/>
      <c r="B95"/>
    </row>
    <row r="96" spans="1:2">
      <c r="A96"/>
      <c r="B96"/>
    </row>
    <row r="97" spans="1:2">
      <c r="A97"/>
      <c r="B97"/>
    </row>
    <row r="98" spans="1:2">
      <c r="A98"/>
      <c r="B98"/>
    </row>
    <row r="99" spans="1:2">
      <c r="A99"/>
      <c r="B99"/>
    </row>
    <row r="100" spans="1:2">
      <c r="A100"/>
      <c r="B100"/>
    </row>
    <row r="101" spans="1:2">
      <c r="A101"/>
      <c r="B101"/>
    </row>
    <row r="102" spans="1:2">
      <c r="A102"/>
      <c r="B102"/>
    </row>
    <row r="103" spans="1:2">
      <c r="A103"/>
      <c r="B103"/>
    </row>
    <row r="104" spans="1:2">
      <c r="A104"/>
      <c r="B104"/>
    </row>
    <row r="105" spans="1:2">
      <c r="A105"/>
      <c r="B105"/>
    </row>
    <row r="106" spans="1:2">
      <c r="A106"/>
      <c r="B106"/>
    </row>
    <row r="107" spans="1:2">
      <c r="A107"/>
      <c r="B107"/>
    </row>
    <row r="108" spans="1:2">
      <c r="A108"/>
      <c r="B108"/>
    </row>
    <row r="109" spans="1:2">
      <c r="A109"/>
      <c r="B109"/>
    </row>
    <row r="110" spans="1:2">
      <c r="A110"/>
      <c r="B110"/>
    </row>
  </sheetData>
  <phoneticPr fontId="8" type="noConversion"/>
  <dataValidations count="1">
    <dataValidation type="list" allowBlank="1" showInputMessage="1" showErrorMessage="1" sqref="D1:D1048576" xr:uid="{F91D722D-C285-40B0-B3A2-25C8A79FC186}">
      <formula1>"پروژه,برنامه"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4B07551-1E28-49F9-BA8F-BFF6A1F5E6FE}">
          <x14:formula1>
            <xm:f>'واحد تجاری'!$A:$A</xm:f>
          </x14:formula1>
          <xm:sqref>A2:A1048576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573BD-A56A-43FA-BB67-73E700BE790E}">
  <dimension ref="A1:V85"/>
  <sheetViews>
    <sheetView rightToLeft="1" topLeftCell="A82" workbookViewId="0">
      <selection activeCell="A76" sqref="A76:A85"/>
    </sheetView>
  </sheetViews>
  <sheetFormatPr defaultColWidth="9.109375" defaultRowHeight="14.4"/>
  <cols>
    <col min="1" max="1" width="18.109375" customWidth="1"/>
    <col min="2" max="2" width="58.88671875" style="1" customWidth="1"/>
    <col min="3" max="3" width="10.33203125" style="1" customWidth="1"/>
    <col min="4" max="4" width="20.109375" style="7" customWidth="1"/>
    <col min="5" max="5" width="12" style="7" customWidth="1"/>
    <col min="6" max="6" width="14.21875" style="1" customWidth="1"/>
    <col min="7" max="7" width="17.6640625" style="1" customWidth="1"/>
    <col min="8" max="8" width="20.33203125" style="1" customWidth="1"/>
    <col min="9" max="9" width="15.109375" style="1" customWidth="1"/>
    <col min="10" max="10" width="19.77734375" style="1" customWidth="1"/>
    <col min="11" max="11" width="10.88671875" style="1" customWidth="1"/>
    <col min="12" max="12" width="13.5546875" style="1" customWidth="1"/>
    <col min="13" max="13" width="17.44140625" style="1" customWidth="1"/>
    <col min="14" max="14" width="16.5546875" style="1" customWidth="1"/>
    <col min="15" max="15" width="14.5546875" style="1" customWidth="1"/>
    <col min="16" max="16" width="17" style="1" customWidth="1"/>
    <col min="17" max="17" width="19.109375" style="1" customWidth="1"/>
    <col min="18" max="18" width="16.88671875" style="1" customWidth="1"/>
    <col min="19" max="19" width="15.6640625" style="1" customWidth="1"/>
    <col min="20" max="20" width="16.5546875" style="1" customWidth="1"/>
    <col min="21" max="21" width="14.44140625" style="1" customWidth="1"/>
    <col min="22" max="22" width="18.5546875" style="1" customWidth="1"/>
    <col min="23" max="16384" width="9.109375" style="1"/>
  </cols>
  <sheetData>
    <row r="1" spans="1:22" ht="34.799999999999997">
      <c r="A1" s="23" t="s">
        <v>66</v>
      </c>
      <c r="B1" s="22" t="s">
        <v>7</v>
      </c>
      <c r="C1" s="22" t="s">
        <v>34</v>
      </c>
      <c r="D1" s="22" t="s">
        <v>35</v>
      </c>
      <c r="E1" s="22" t="s">
        <v>36</v>
      </c>
      <c r="F1" s="22" t="s">
        <v>37</v>
      </c>
      <c r="G1" s="22" t="s">
        <v>38</v>
      </c>
      <c r="H1" s="22" t="s">
        <v>39</v>
      </c>
      <c r="I1" s="22" t="s">
        <v>40</v>
      </c>
      <c r="J1" s="22" t="s">
        <v>41</v>
      </c>
      <c r="K1" s="22" t="s">
        <v>42</v>
      </c>
      <c r="L1" s="22" t="s">
        <v>43</v>
      </c>
      <c r="M1" s="22" t="s">
        <v>44</v>
      </c>
      <c r="N1" s="22" t="s">
        <v>45</v>
      </c>
      <c r="O1" s="22" t="s">
        <v>46</v>
      </c>
      <c r="P1" s="22" t="s">
        <v>47</v>
      </c>
      <c r="Q1" s="22" t="s">
        <v>48</v>
      </c>
      <c r="R1" s="22" t="s">
        <v>49</v>
      </c>
      <c r="S1" s="22" t="s">
        <v>50</v>
      </c>
      <c r="T1" s="22" t="s">
        <v>51</v>
      </c>
      <c r="U1" s="22" t="s">
        <v>52</v>
      </c>
      <c r="V1" s="22" t="s">
        <v>53</v>
      </c>
    </row>
    <row r="2" spans="1:22">
      <c r="A2" t="s">
        <v>6</v>
      </c>
      <c r="B2" s="5" t="s">
        <v>99</v>
      </c>
      <c r="C2" s="3">
        <v>1405</v>
      </c>
      <c r="D2" s="5" t="s">
        <v>223</v>
      </c>
      <c r="E2" s="5"/>
      <c r="F2" s="5"/>
      <c r="G2" s="5"/>
      <c r="H2" s="5"/>
      <c r="I2" s="5">
        <v>0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>
      <c r="A3" t="s">
        <v>6</v>
      </c>
      <c r="B3" s="29" t="s">
        <v>99</v>
      </c>
      <c r="C3" s="3">
        <v>1405</v>
      </c>
      <c r="D3" s="28" t="s">
        <v>224</v>
      </c>
      <c r="E3" s="15"/>
      <c r="F3" s="5"/>
      <c r="G3" s="5"/>
      <c r="H3" s="5"/>
      <c r="I3" s="5">
        <v>0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2">
      <c r="A4" t="s">
        <v>6</v>
      </c>
      <c r="B4" s="29" t="s">
        <v>99</v>
      </c>
      <c r="C4" s="3">
        <v>1405</v>
      </c>
      <c r="D4" s="28" t="s">
        <v>225</v>
      </c>
      <c r="E4" s="15"/>
      <c r="F4" s="5"/>
      <c r="G4" s="5">
        <v>500000</v>
      </c>
      <c r="H4" s="5">
        <v>600000</v>
      </c>
      <c r="I4" s="5">
        <v>5000</v>
      </c>
      <c r="J4" s="5">
        <v>4800</v>
      </c>
      <c r="K4" s="5">
        <v>5000</v>
      </c>
      <c r="L4" s="5">
        <v>4000</v>
      </c>
      <c r="M4" s="5">
        <v>40000</v>
      </c>
      <c r="N4" s="5">
        <v>33000</v>
      </c>
      <c r="O4" s="5">
        <v>1000</v>
      </c>
      <c r="P4" s="5">
        <v>1100</v>
      </c>
      <c r="Q4" s="5">
        <v>5000</v>
      </c>
      <c r="R4" s="5">
        <v>4000</v>
      </c>
      <c r="S4" s="5">
        <v>80</v>
      </c>
      <c r="T4" s="5">
        <v>70</v>
      </c>
      <c r="U4" s="5"/>
      <c r="V4" s="5"/>
    </row>
    <row r="5" spans="1:22">
      <c r="A5" t="s">
        <v>6</v>
      </c>
      <c r="B5" s="30" t="s">
        <v>99</v>
      </c>
      <c r="C5" s="3">
        <v>1405</v>
      </c>
      <c r="D5" s="28" t="s">
        <v>226</v>
      </c>
      <c r="E5" s="15"/>
      <c r="F5" s="5"/>
      <c r="G5" s="5"/>
      <c r="H5" s="5"/>
      <c r="I5" s="5">
        <v>0</v>
      </c>
      <c r="J5" s="5"/>
      <c r="K5" s="5">
        <v>2000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2">
      <c r="A6" t="s">
        <v>6</v>
      </c>
      <c r="B6" s="30" t="s">
        <v>99</v>
      </c>
      <c r="C6" s="3">
        <v>1405</v>
      </c>
      <c r="D6" s="6" t="s">
        <v>227</v>
      </c>
      <c r="E6" s="15"/>
      <c r="F6" s="5"/>
      <c r="G6" s="5"/>
      <c r="H6" s="5"/>
      <c r="I6" s="5">
        <v>0</v>
      </c>
      <c r="J6" s="5"/>
      <c r="K6" s="5">
        <v>2000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2">
      <c r="A7" t="s">
        <v>6</v>
      </c>
      <c r="B7" s="30" t="s">
        <v>99</v>
      </c>
      <c r="C7" s="3">
        <v>1405</v>
      </c>
      <c r="D7" s="6" t="s">
        <v>228</v>
      </c>
      <c r="E7" s="15"/>
      <c r="F7" s="5"/>
      <c r="G7" s="5"/>
      <c r="H7" s="5"/>
      <c r="I7" s="5">
        <v>0</v>
      </c>
      <c r="J7" s="5"/>
      <c r="K7" s="5">
        <v>312000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2">
      <c r="A8" t="s">
        <v>6</v>
      </c>
      <c r="B8" s="30" t="s">
        <v>99</v>
      </c>
      <c r="C8" s="3">
        <v>1405</v>
      </c>
      <c r="D8" s="6" t="s">
        <v>229</v>
      </c>
      <c r="E8" s="15">
        <v>2000000</v>
      </c>
      <c r="F8" s="5">
        <v>111000</v>
      </c>
      <c r="G8" s="5">
        <v>1560000</v>
      </c>
      <c r="H8" s="5">
        <v>120000</v>
      </c>
      <c r="I8" s="5">
        <v>440000</v>
      </c>
      <c r="J8" s="5">
        <v>40000</v>
      </c>
      <c r="K8" s="5">
        <v>112000</v>
      </c>
      <c r="L8" s="5"/>
      <c r="M8" s="5"/>
      <c r="N8" s="5"/>
      <c r="O8" s="5"/>
      <c r="P8" s="5"/>
      <c r="Q8" s="5"/>
      <c r="R8" s="5"/>
      <c r="S8" s="5">
        <v>80</v>
      </c>
      <c r="T8" s="5"/>
      <c r="U8" s="5"/>
      <c r="V8" s="5"/>
    </row>
    <row r="9" spans="1:22">
      <c r="A9" t="s">
        <v>6</v>
      </c>
      <c r="B9" s="30" t="s">
        <v>99</v>
      </c>
      <c r="C9" s="3">
        <v>1405</v>
      </c>
      <c r="D9" s="6" t="s">
        <v>230</v>
      </c>
      <c r="E9" s="15">
        <v>2000000</v>
      </c>
      <c r="F9" s="5"/>
      <c r="G9" s="5">
        <v>1560000</v>
      </c>
      <c r="H9" s="5"/>
      <c r="I9" s="5">
        <v>440000</v>
      </c>
      <c r="J9" s="5"/>
      <c r="K9" s="5">
        <v>112000</v>
      </c>
      <c r="L9" s="5"/>
      <c r="M9" s="5"/>
      <c r="N9" s="5"/>
      <c r="O9" s="5"/>
      <c r="P9" s="5"/>
      <c r="Q9" s="5"/>
      <c r="R9" s="5"/>
      <c r="S9" s="5">
        <v>80</v>
      </c>
      <c r="T9" s="5"/>
      <c r="U9" s="5"/>
      <c r="V9" s="5"/>
    </row>
    <row r="10" spans="1:22">
      <c r="A10" t="s">
        <v>6</v>
      </c>
      <c r="B10" s="30" t="s">
        <v>99</v>
      </c>
      <c r="C10" s="3">
        <v>1405</v>
      </c>
      <c r="D10" s="6" t="s">
        <v>231</v>
      </c>
      <c r="E10" s="15">
        <v>2000000</v>
      </c>
      <c r="F10" s="5"/>
      <c r="G10" s="5">
        <v>1560000</v>
      </c>
      <c r="H10" s="5"/>
      <c r="I10" s="5">
        <v>440000</v>
      </c>
      <c r="J10" s="5"/>
      <c r="K10" s="5">
        <v>112000</v>
      </c>
      <c r="L10" s="5"/>
      <c r="M10" s="5"/>
      <c r="N10" s="5"/>
      <c r="O10" s="5"/>
      <c r="P10" s="5"/>
      <c r="Q10" s="5"/>
      <c r="R10" s="5"/>
      <c r="S10" s="5">
        <v>80</v>
      </c>
      <c r="T10" s="5"/>
      <c r="U10" s="5"/>
      <c r="V10" s="5"/>
    </row>
    <row r="11" spans="1:22">
      <c r="A11" t="s">
        <v>6</v>
      </c>
      <c r="B11" s="30" t="s">
        <v>99</v>
      </c>
      <c r="C11" s="3">
        <v>1405</v>
      </c>
      <c r="D11" s="6" t="s">
        <v>232</v>
      </c>
      <c r="E11" s="15">
        <v>2000000</v>
      </c>
      <c r="F11" s="5"/>
      <c r="G11" s="5">
        <v>1560000</v>
      </c>
      <c r="H11" s="5"/>
      <c r="I11" s="5">
        <v>440000</v>
      </c>
      <c r="J11" s="5"/>
      <c r="K11" s="5">
        <v>112000</v>
      </c>
      <c r="L11" s="5"/>
      <c r="M11" s="5"/>
      <c r="N11" s="5"/>
      <c r="O11" s="5"/>
      <c r="P11" s="5"/>
      <c r="Q11" s="5"/>
      <c r="R11" s="5"/>
      <c r="S11" s="5">
        <v>80</v>
      </c>
      <c r="T11" s="5"/>
      <c r="U11" s="5"/>
      <c r="V11" s="5"/>
    </row>
    <row r="12" spans="1:22">
      <c r="A12" t="s">
        <v>6</v>
      </c>
      <c r="B12" s="30" t="s">
        <v>99</v>
      </c>
      <c r="C12" s="3">
        <v>1405</v>
      </c>
      <c r="D12" s="6" t="s">
        <v>233</v>
      </c>
      <c r="E12" s="15">
        <v>3000000</v>
      </c>
      <c r="F12" s="5"/>
      <c r="G12" s="5">
        <v>2340000</v>
      </c>
      <c r="H12" s="5"/>
      <c r="I12" s="5">
        <v>660000</v>
      </c>
      <c r="J12" s="5"/>
      <c r="K12" s="5">
        <v>162000</v>
      </c>
      <c r="L12" s="5"/>
      <c r="M12" s="5"/>
      <c r="N12" s="5"/>
      <c r="O12" s="5"/>
      <c r="P12" s="5"/>
      <c r="Q12" s="5"/>
      <c r="R12" s="5"/>
      <c r="S12" s="5">
        <v>80</v>
      </c>
      <c r="T12" s="5"/>
      <c r="U12" s="5"/>
      <c r="V12" s="5"/>
    </row>
    <row r="13" spans="1:22">
      <c r="A13" t="s">
        <v>6</v>
      </c>
      <c r="B13" s="30" t="s">
        <v>99</v>
      </c>
      <c r="C13" s="3">
        <v>1405</v>
      </c>
      <c r="D13" s="6" t="s">
        <v>234</v>
      </c>
      <c r="E13" s="15">
        <v>4000000</v>
      </c>
      <c r="F13" s="5"/>
      <c r="G13" s="5">
        <v>3120000</v>
      </c>
      <c r="H13" s="5"/>
      <c r="I13" s="5">
        <v>880000</v>
      </c>
      <c r="J13" s="5"/>
      <c r="K13" s="5">
        <v>214000</v>
      </c>
      <c r="L13" s="5"/>
      <c r="M13" s="5"/>
      <c r="N13" s="5"/>
      <c r="O13" s="5"/>
      <c r="P13" s="5"/>
      <c r="Q13" s="5"/>
      <c r="R13" s="5"/>
      <c r="S13" s="5">
        <v>80</v>
      </c>
      <c r="T13" s="5"/>
      <c r="U13" s="5"/>
      <c r="V13" s="5"/>
    </row>
    <row r="14" spans="1:22">
      <c r="A14" t="s">
        <v>6</v>
      </c>
      <c r="B14" s="30" t="s">
        <v>105</v>
      </c>
      <c r="C14" s="3">
        <v>1405</v>
      </c>
      <c r="D14" s="28" t="s">
        <v>223</v>
      </c>
      <c r="E14" s="1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>
      <c r="A15" t="s">
        <v>6</v>
      </c>
      <c r="B15" s="30" t="s">
        <v>105</v>
      </c>
      <c r="C15" s="3">
        <v>1405</v>
      </c>
      <c r="D15" s="28" t="s">
        <v>224</v>
      </c>
      <c r="E15" s="1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>
      <c r="A16" t="s">
        <v>6</v>
      </c>
      <c r="B16" s="30" t="s">
        <v>105</v>
      </c>
      <c r="C16" s="3">
        <v>1405</v>
      </c>
      <c r="D16" s="28" t="s">
        <v>225</v>
      </c>
      <c r="E16" s="15"/>
      <c r="F16" s="5"/>
      <c r="G16" s="5"/>
      <c r="H16" s="5"/>
      <c r="I16" s="5">
        <v>500000</v>
      </c>
      <c r="J16" s="5">
        <v>450000</v>
      </c>
      <c r="K16" s="5">
        <v>8000</v>
      </c>
      <c r="L16" s="5">
        <v>9000</v>
      </c>
      <c r="M16" s="5">
        <v>100000</v>
      </c>
      <c r="N16" s="5">
        <v>110000</v>
      </c>
      <c r="O16" s="5">
        <v>2000</v>
      </c>
      <c r="P16" s="5">
        <v>1500</v>
      </c>
      <c r="Q16" s="5">
        <v>4000</v>
      </c>
      <c r="R16" s="5">
        <v>4500</v>
      </c>
      <c r="S16" s="5">
        <v>80</v>
      </c>
      <c r="T16" s="5">
        <v>85</v>
      </c>
      <c r="U16" s="5">
        <v>200</v>
      </c>
      <c r="V16" s="5"/>
    </row>
    <row r="17" spans="1:22">
      <c r="A17" t="s">
        <v>6</v>
      </c>
      <c r="B17" s="30" t="s">
        <v>105</v>
      </c>
      <c r="C17" s="3">
        <v>1405</v>
      </c>
      <c r="D17" s="28" t="s">
        <v>226</v>
      </c>
      <c r="E17" s="15"/>
      <c r="F17" s="5"/>
      <c r="G17" s="5"/>
      <c r="H17" s="5"/>
      <c r="I17" s="5">
        <v>0</v>
      </c>
      <c r="J17" s="5"/>
      <c r="K17" s="5">
        <v>2000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>
      <c r="A18" t="s">
        <v>6</v>
      </c>
      <c r="B18" s="30" t="s">
        <v>105</v>
      </c>
      <c r="C18" s="3">
        <v>1405</v>
      </c>
      <c r="D18" s="6" t="s">
        <v>227</v>
      </c>
      <c r="E18" s="15"/>
      <c r="F18" s="5"/>
      <c r="G18" s="5"/>
      <c r="H18" s="5"/>
      <c r="I18" s="5">
        <v>0</v>
      </c>
      <c r="J18" s="5"/>
      <c r="K18" s="5">
        <v>2000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spans="1:22">
      <c r="A19" t="s">
        <v>6</v>
      </c>
      <c r="B19" s="30" t="s">
        <v>105</v>
      </c>
      <c r="C19" s="3">
        <v>1405</v>
      </c>
      <c r="D19" s="6" t="s">
        <v>228</v>
      </c>
      <c r="E19" s="15"/>
      <c r="F19" s="5"/>
      <c r="G19" s="5"/>
      <c r="H19" s="5"/>
      <c r="I19" s="5">
        <v>0</v>
      </c>
      <c r="J19" s="5"/>
      <c r="K19" s="5">
        <v>2000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spans="1:22">
      <c r="A20" t="s">
        <v>6</v>
      </c>
      <c r="B20" s="30" t="s">
        <v>105</v>
      </c>
      <c r="C20" s="3">
        <v>1405</v>
      </c>
      <c r="D20" s="6" t="s">
        <v>229</v>
      </c>
      <c r="E20" s="15"/>
      <c r="F20" s="5"/>
      <c r="G20" s="5"/>
      <c r="H20" s="5"/>
      <c r="I20" s="5">
        <v>0</v>
      </c>
      <c r="J20" s="5"/>
      <c r="K20" s="5">
        <v>2000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spans="1:22">
      <c r="A21" t="s">
        <v>6</v>
      </c>
      <c r="B21" s="30" t="s">
        <v>105</v>
      </c>
      <c r="C21" s="3">
        <v>1405</v>
      </c>
      <c r="D21" s="6" t="s">
        <v>230</v>
      </c>
      <c r="E21" s="15"/>
      <c r="F21" s="5"/>
      <c r="G21" s="5"/>
      <c r="H21" s="5"/>
      <c r="I21" s="5">
        <v>0</v>
      </c>
      <c r="J21" s="5"/>
      <c r="K21" s="5">
        <v>3000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spans="1:22">
      <c r="A22" t="s">
        <v>6</v>
      </c>
      <c r="B22" s="30" t="s">
        <v>105</v>
      </c>
      <c r="C22" s="3">
        <v>1405</v>
      </c>
      <c r="D22" s="6" t="s">
        <v>231</v>
      </c>
      <c r="E22" s="15"/>
      <c r="F22" s="5"/>
      <c r="G22" s="5"/>
      <c r="H22" s="5"/>
      <c r="I22" s="5">
        <v>0</v>
      </c>
      <c r="J22" s="5"/>
      <c r="K22" s="5">
        <v>3000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2">
      <c r="A23" t="s">
        <v>6</v>
      </c>
      <c r="B23" s="30" t="s">
        <v>105</v>
      </c>
      <c r="C23" s="3">
        <v>1405</v>
      </c>
      <c r="D23" s="6" t="s">
        <v>232</v>
      </c>
      <c r="E23" s="15">
        <v>500000</v>
      </c>
      <c r="F23" s="5"/>
      <c r="G23" s="5">
        <v>370000</v>
      </c>
      <c r="H23" s="5"/>
      <c r="I23" s="5">
        <v>130000</v>
      </c>
      <c r="J23" s="5"/>
      <c r="K23" s="5">
        <v>43000</v>
      </c>
      <c r="L23" s="5"/>
      <c r="M23" s="5"/>
      <c r="N23" s="5"/>
      <c r="O23" s="5"/>
      <c r="P23" s="5"/>
      <c r="Q23" s="5"/>
      <c r="R23" s="5"/>
      <c r="S23" s="5">
        <v>90</v>
      </c>
      <c r="T23" s="5"/>
      <c r="U23" s="5"/>
      <c r="V23" s="5"/>
    </row>
    <row r="24" spans="1:22">
      <c r="A24" t="s">
        <v>6</v>
      </c>
      <c r="B24" s="30" t="s">
        <v>105</v>
      </c>
      <c r="C24" s="3">
        <v>1405</v>
      </c>
      <c r="D24" s="6" t="s">
        <v>233</v>
      </c>
      <c r="E24" s="15">
        <v>800000</v>
      </c>
      <c r="F24" s="5"/>
      <c r="G24" s="5">
        <v>592000</v>
      </c>
      <c r="H24" s="5"/>
      <c r="I24" s="5">
        <v>208000</v>
      </c>
      <c r="J24" s="5"/>
      <c r="K24" s="5">
        <v>67000</v>
      </c>
      <c r="L24" s="5"/>
      <c r="M24" s="5"/>
      <c r="N24" s="5"/>
      <c r="O24" s="5"/>
      <c r="P24" s="5"/>
      <c r="Q24" s="5"/>
      <c r="R24" s="5"/>
      <c r="S24" s="5">
        <v>90</v>
      </c>
      <c r="T24" s="5"/>
      <c r="U24" s="5"/>
      <c r="V24" s="5"/>
    </row>
    <row r="25" spans="1:22">
      <c r="A25" t="s">
        <v>6</v>
      </c>
      <c r="B25" s="30" t="s">
        <v>105</v>
      </c>
      <c r="C25" s="3">
        <v>1405</v>
      </c>
      <c r="D25" s="6" t="s">
        <v>234</v>
      </c>
      <c r="E25" s="15">
        <v>1700000</v>
      </c>
      <c r="F25" s="5"/>
      <c r="G25" s="5">
        <v>1258000</v>
      </c>
      <c r="H25" s="5"/>
      <c r="I25" s="5">
        <v>442000</v>
      </c>
      <c r="J25" s="5"/>
      <c r="K25" s="5">
        <v>141000</v>
      </c>
      <c r="L25" s="5"/>
      <c r="M25" s="5"/>
      <c r="N25" s="5"/>
      <c r="O25" s="5"/>
      <c r="P25" s="5"/>
      <c r="Q25" s="5"/>
      <c r="R25" s="5"/>
      <c r="S25" s="5">
        <v>90</v>
      </c>
      <c r="T25" s="5"/>
      <c r="U25" s="5"/>
      <c r="V25" s="5"/>
    </row>
    <row r="26" spans="1:22">
      <c r="A26" t="s">
        <v>6</v>
      </c>
      <c r="B26" s="30" t="s">
        <v>111</v>
      </c>
      <c r="C26" s="3">
        <v>1405</v>
      </c>
      <c r="D26" s="28" t="s">
        <v>223</v>
      </c>
      <c r="E26" s="1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spans="1:22">
      <c r="A27" t="s">
        <v>6</v>
      </c>
      <c r="B27" s="30" t="s">
        <v>111</v>
      </c>
      <c r="C27" s="3">
        <v>1405</v>
      </c>
      <c r="D27" s="28" t="s">
        <v>224</v>
      </c>
      <c r="E27" s="1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spans="1:22">
      <c r="A28" t="s">
        <v>6</v>
      </c>
      <c r="B28" s="30" t="s">
        <v>111</v>
      </c>
      <c r="C28" s="3">
        <v>1405</v>
      </c>
      <c r="D28" s="28" t="s">
        <v>225</v>
      </c>
      <c r="E28" s="15">
        <v>300</v>
      </c>
      <c r="F28" s="5"/>
      <c r="G28" s="5">
        <v>800000</v>
      </c>
      <c r="H28" s="5">
        <v>700000</v>
      </c>
      <c r="I28" s="5"/>
      <c r="J28" s="5"/>
      <c r="K28" s="5">
        <v>12000</v>
      </c>
      <c r="L28" s="5">
        <v>11000</v>
      </c>
      <c r="M28" s="5"/>
      <c r="N28" s="5"/>
      <c r="O28" s="5">
        <v>1000</v>
      </c>
      <c r="P28" s="5">
        <v>800</v>
      </c>
      <c r="Q28" s="5">
        <v>5000</v>
      </c>
      <c r="R28" s="5">
        <v>4500</v>
      </c>
      <c r="S28" s="5">
        <v>90</v>
      </c>
      <c r="T28" s="5">
        <v>70</v>
      </c>
      <c r="U28" s="32">
        <v>400</v>
      </c>
      <c r="V28" s="5"/>
    </row>
    <row r="29" spans="1:22">
      <c r="A29" t="s">
        <v>6</v>
      </c>
      <c r="B29" s="30" t="s">
        <v>111</v>
      </c>
      <c r="C29" s="3">
        <v>1405</v>
      </c>
      <c r="D29" s="28" t="s">
        <v>226</v>
      </c>
      <c r="E29" s="1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spans="1:22">
      <c r="A30" t="s">
        <v>6</v>
      </c>
      <c r="B30" s="30" t="s">
        <v>111</v>
      </c>
      <c r="C30" s="3">
        <v>1405</v>
      </c>
      <c r="D30" s="6" t="s">
        <v>227</v>
      </c>
      <c r="E30" s="1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>
      <c r="A31" t="s">
        <v>6</v>
      </c>
      <c r="B31" s="30" t="s">
        <v>111</v>
      </c>
      <c r="C31" s="3">
        <v>1405</v>
      </c>
      <c r="D31" s="6" t="s">
        <v>228</v>
      </c>
      <c r="E31" s="1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>
      <c r="A32" t="s">
        <v>6</v>
      </c>
      <c r="B32" s="30" t="s">
        <v>111</v>
      </c>
      <c r="C32" s="3">
        <v>1405</v>
      </c>
      <c r="D32" s="6" t="s">
        <v>229</v>
      </c>
      <c r="E32" s="15">
        <v>150000</v>
      </c>
      <c r="F32" s="5"/>
      <c r="G32" s="5">
        <v>105000</v>
      </c>
      <c r="H32" s="5"/>
      <c r="I32" s="5">
        <v>45000</v>
      </c>
      <c r="J32" s="5"/>
      <c r="K32" s="5">
        <v>15000</v>
      </c>
      <c r="L32" s="5"/>
      <c r="M32" s="5"/>
      <c r="N32" s="5"/>
      <c r="O32" s="5"/>
      <c r="P32" s="5"/>
      <c r="Q32" s="5"/>
      <c r="R32" s="5"/>
      <c r="S32" s="5">
        <v>90</v>
      </c>
      <c r="T32" s="5"/>
      <c r="U32" s="5"/>
      <c r="V32" s="5"/>
    </row>
    <row r="33" spans="1:22">
      <c r="A33" t="s">
        <v>6</v>
      </c>
      <c r="B33" s="30" t="s">
        <v>111</v>
      </c>
      <c r="C33" s="3">
        <v>1405</v>
      </c>
      <c r="D33" s="6" t="s">
        <v>230</v>
      </c>
      <c r="E33" s="15">
        <v>300000</v>
      </c>
      <c r="F33" s="5"/>
      <c r="G33" s="5">
        <v>210000</v>
      </c>
      <c r="H33" s="5"/>
      <c r="I33" s="5">
        <v>90000</v>
      </c>
      <c r="J33" s="5"/>
      <c r="K33" s="5">
        <v>30000</v>
      </c>
      <c r="L33" s="5"/>
      <c r="M33" s="5"/>
      <c r="N33" s="5"/>
      <c r="O33" s="5"/>
      <c r="P33" s="5"/>
      <c r="Q33" s="5"/>
      <c r="R33" s="5"/>
      <c r="S33" s="5">
        <v>91</v>
      </c>
      <c r="T33" s="5"/>
      <c r="U33" s="5"/>
      <c r="V33" s="5"/>
    </row>
    <row r="34" spans="1:22">
      <c r="A34" t="s">
        <v>6</v>
      </c>
      <c r="B34" s="30" t="s">
        <v>111</v>
      </c>
      <c r="C34" s="3">
        <v>1405</v>
      </c>
      <c r="D34" s="6" t="s">
        <v>231</v>
      </c>
      <c r="E34" s="15">
        <v>350000</v>
      </c>
      <c r="F34" s="5"/>
      <c r="G34" s="5">
        <v>245000</v>
      </c>
      <c r="H34" s="5"/>
      <c r="I34" s="5">
        <v>105000</v>
      </c>
      <c r="J34" s="5"/>
      <c r="K34" s="5">
        <v>35000</v>
      </c>
      <c r="L34" s="5"/>
      <c r="M34" s="5"/>
      <c r="N34" s="5"/>
      <c r="O34" s="5"/>
      <c r="P34" s="5"/>
      <c r="Q34" s="5"/>
      <c r="R34" s="5"/>
      <c r="S34" s="5">
        <v>92</v>
      </c>
      <c r="T34" s="5"/>
      <c r="U34" s="5"/>
      <c r="V34" s="5"/>
    </row>
    <row r="35" spans="1:22">
      <c r="A35" t="s">
        <v>6</v>
      </c>
      <c r="B35" s="30" t="s">
        <v>111</v>
      </c>
      <c r="C35" s="3">
        <v>1405</v>
      </c>
      <c r="D35" s="6" t="s">
        <v>232</v>
      </c>
      <c r="E35" s="15">
        <v>300000</v>
      </c>
      <c r="F35" s="5"/>
      <c r="G35" s="5">
        <v>210000</v>
      </c>
      <c r="H35" s="5"/>
      <c r="I35" s="5">
        <v>90000</v>
      </c>
      <c r="J35" s="5"/>
      <c r="K35" s="5">
        <v>30000</v>
      </c>
      <c r="L35" s="5"/>
      <c r="M35" s="5"/>
      <c r="N35" s="5"/>
      <c r="O35" s="5"/>
      <c r="P35" s="5"/>
      <c r="Q35" s="5"/>
      <c r="R35" s="5"/>
      <c r="S35" s="5">
        <v>93</v>
      </c>
      <c r="T35" s="5"/>
      <c r="U35" s="5"/>
      <c r="V35" s="5"/>
    </row>
    <row r="36" spans="1:22">
      <c r="A36" t="s">
        <v>6</v>
      </c>
      <c r="B36" s="30" t="s">
        <v>111</v>
      </c>
      <c r="C36" s="3">
        <v>1405</v>
      </c>
      <c r="D36" s="6" t="s">
        <v>233</v>
      </c>
      <c r="E36" s="15">
        <v>400000</v>
      </c>
      <c r="F36" s="5"/>
      <c r="G36" s="5">
        <v>280000</v>
      </c>
      <c r="H36" s="5"/>
      <c r="I36" s="5">
        <v>120000</v>
      </c>
      <c r="J36" s="5"/>
      <c r="K36" s="5">
        <v>40000</v>
      </c>
      <c r="L36" s="5"/>
      <c r="M36" s="5"/>
      <c r="N36" s="5"/>
      <c r="O36" s="5"/>
      <c r="P36" s="5"/>
      <c r="Q36" s="5"/>
      <c r="R36" s="5"/>
      <c r="S36" s="5">
        <v>94</v>
      </c>
      <c r="T36" s="5"/>
      <c r="U36" s="5"/>
      <c r="V36" s="5"/>
    </row>
    <row r="37" spans="1:22">
      <c r="A37" t="s">
        <v>6</v>
      </c>
      <c r="B37" s="30" t="s">
        <v>111</v>
      </c>
      <c r="C37" s="3">
        <v>1405</v>
      </c>
      <c r="D37" s="6" t="s">
        <v>234</v>
      </c>
      <c r="E37" s="15">
        <v>500000</v>
      </c>
      <c r="F37" s="5"/>
      <c r="G37" s="5">
        <v>350000</v>
      </c>
      <c r="H37" s="5"/>
      <c r="I37" s="5">
        <v>150000</v>
      </c>
      <c r="J37" s="5"/>
      <c r="K37" s="5">
        <v>50000</v>
      </c>
      <c r="L37" s="5"/>
      <c r="M37" s="5"/>
      <c r="N37" s="5"/>
      <c r="O37" s="5"/>
      <c r="P37" s="5"/>
      <c r="Q37" s="5"/>
      <c r="R37" s="5"/>
      <c r="S37" s="5">
        <v>95</v>
      </c>
      <c r="T37" s="5"/>
      <c r="U37" s="5"/>
      <c r="V37" s="5"/>
    </row>
    <row r="38" spans="1:22">
      <c r="A38" t="s">
        <v>6</v>
      </c>
      <c r="B38" s="30" t="s">
        <v>117</v>
      </c>
      <c r="C38" s="3">
        <v>1405</v>
      </c>
      <c r="D38" s="28" t="s">
        <v>223</v>
      </c>
      <c r="E38" s="15">
        <v>5000</v>
      </c>
      <c r="F38" s="5"/>
      <c r="G38" s="5"/>
      <c r="H38" s="5"/>
      <c r="I38" s="5">
        <v>5000</v>
      </c>
      <c r="J38" s="5"/>
      <c r="K38" s="5"/>
      <c r="L38" s="5"/>
      <c r="M38" s="5"/>
      <c r="N38" s="5"/>
      <c r="O38" s="5"/>
      <c r="P38" s="5"/>
      <c r="Q38" s="5"/>
      <c r="R38" s="5"/>
      <c r="S38" s="5">
        <v>90</v>
      </c>
      <c r="T38" s="5"/>
      <c r="U38" s="5"/>
      <c r="V38" s="5"/>
    </row>
    <row r="39" spans="1:22">
      <c r="A39" t="s">
        <v>6</v>
      </c>
      <c r="B39" s="30" t="s">
        <v>117</v>
      </c>
      <c r="C39" s="3">
        <v>1405</v>
      </c>
      <c r="D39" s="28" t="s">
        <v>224</v>
      </c>
      <c r="E39" s="15">
        <v>5000</v>
      </c>
      <c r="F39" s="5"/>
      <c r="G39" s="5"/>
      <c r="H39" s="5"/>
      <c r="I39" s="5">
        <v>5000</v>
      </c>
      <c r="J39" s="5"/>
      <c r="K39" s="5"/>
      <c r="L39" s="5"/>
      <c r="M39" s="5"/>
      <c r="N39" s="5"/>
      <c r="O39" s="5"/>
      <c r="P39" s="5"/>
      <c r="Q39" s="5"/>
      <c r="R39" s="5"/>
      <c r="S39" s="5">
        <v>90</v>
      </c>
      <c r="T39" s="5"/>
      <c r="U39" s="5"/>
      <c r="V39" s="5"/>
    </row>
    <row r="40" spans="1:22">
      <c r="A40" t="s">
        <v>6</v>
      </c>
      <c r="B40" s="30" t="s">
        <v>117</v>
      </c>
      <c r="C40" s="3">
        <v>1405</v>
      </c>
      <c r="D40" s="28" t="s">
        <v>225</v>
      </c>
      <c r="E40" s="15"/>
      <c r="F40" s="5">
        <v>1000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v>3000</v>
      </c>
      <c r="R40" s="5">
        <v>3000</v>
      </c>
      <c r="S40" s="5">
        <v>90</v>
      </c>
      <c r="T40" s="5">
        <v>77</v>
      </c>
      <c r="U40" s="5"/>
      <c r="V40" s="5"/>
    </row>
    <row r="41" spans="1:22">
      <c r="A41" t="s">
        <v>6</v>
      </c>
      <c r="B41" s="30" t="s">
        <v>117</v>
      </c>
      <c r="C41" s="3">
        <v>1405</v>
      </c>
      <c r="D41" s="28" t="s">
        <v>226</v>
      </c>
      <c r="E41" s="15">
        <v>5000</v>
      </c>
      <c r="F41" s="5"/>
      <c r="G41" s="5"/>
      <c r="H41" s="5"/>
      <c r="I41" s="5">
        <v>5000</v>
      </c>
      <c r="J41" s="5"/>
      <c r="K41" s="5">
        <v>2500</v>
      </c>
      <c r="L41" s="5"/>
      <c r="M41" s="5"/>
      <c r="N41" s="5"/>
      <c r="O41" s="5"/>
      <c r="P41" s="5"/>
      <c r="Q41" s="5"/>
      <c r="R41" s="5"/>
      <c r="S41" s="5">
        <v>90</v>
      </c>
      <c r="T41" s="5"/>
      <c r="U41" s="5"/>
      <c r="V41" s="5"/>
    </row>
    <row r="42" spans="1:22">
      <c r="A42" t="s">
        <v>6</v>
      </c>
      <c r="B42" s="30" t="s">
        <v>117</v>
      </c>
      <c r="C42" s="3">
        <v>1405</v>
      </c>
      <c r="D42" s="6" t="s">
        <v>227</v>
      </c>
      <c r="E42" s="15">
        <v>5000</v>
      </c>
      <c r="F42" s="5"/>
      <c r="G42" s="5"/>
      <c r="H42" s="5"/>
      <c r="I42" s="5">
        <v>5000</v>
      </c>
      <c r="J42" s="5"/>
      <c r="K42" s="5">
        <v>2500</v>
      </c>
      <c r="L42" s="5"/>
      <c r="M42" s="5"/>
      <c r="N42" s="5"/>
      <c r="O42" s="5"/>
      <c r="P42" s="5"/>
      <c r="Q42" s="5"/>
      <c r="R42" s="5"/>
      <c r="S42" s="5">
        <v>90</v>
      </c>
      <c r="T42" s="5"/>
      <c r="U42" s="5"/>
      <c r="V42" s="5"/>
    </row>
    <row r="43" spans="1:22">
      <c r="A43" t="s">
        <v>6</v>
      </c>
      <c r="B43" s="30" t="s">
        <v>117</v>
      </c>
      <c r="C43" s="3">
        <v>1405</v>
      </c>
      <c r="D43" s="6" t="s">
        <v>228</v>
      </c>
      <c r="E43" s="15">
        <v>5000</v>
      </c>
      <c r="F43" s="5"/>
      <c r="G43" s="5"/>
      <c r="H43" s="5"/>
      <c r="I43" s="5">
        <v>5000</v>
      </c>
      <c r="J43" s="5"/>
      <c r="K43" s="5">
        <v>2500</v>
      </c>
      <c r="L43" s="5"/>
      <c r="M43" s="5"/>
      <c r="N43" s="5"/>
      <c r="O43" s="5"/>
      <c r="P43" s="5"/>
      <c r="Q43" s="5"/>
      <c r="R43" s="5"/>
      <c r="S43" s="5">
        <v>90</v>
      </c>
      <c r="T43" s="5"/>
      <c r="U43" s="5"/>
      <c r="V43" s="5"/>
    </row>
    <row r="44" spans="1:22">
      <c r="A44" t="s">
        <v>6</v>
      </c>
      <c r="B44" s="30" t="s">
        <v>117</v>
      </c>
      <c r="C44" s="3">
        <v>1405</v>
      </c>
      <c r="D44" s="6" t="s">
        <v>229</v>
      </c>
      <c r="E44" s="15">
        <v>10000</v>
      </c>
      <c r="F44" s="5"/>
      <c r="G44" s="5"/>
      <c r="H44" s="5"/>
      <c r="I44" s="5">
        <v>10000</v>
      </c>
      <c r="J44" s="5"/>
      <c r="K44" s="5">
        <v>3000</v>
      </c>
      <c r="L44" s="5"/>
      <c r="M44" s="5"/>
      <c r="N44" s="5"/>
      <c r="O44" s="5"/>
      <c r="P44" s="5"/>
      <c r="Q44" s="5"/>
      <c r="R44" s="5"/>
      <c r="S44" s="5">
        <v>90</v>
      </c>
      <c r="T44" s="5"/>
      <c r="U44" s="5"/>
      <c r="V44" s="5"/>
    </row>
    <row r="45" spans="1:22">
      <c r="A45" t="s">
        <v>6</v>
      </c>
      <c r="B45" s="30" t="s">
        <v>117</v>
      </c>
      <c r="C45" s="3">
        <v>1405</v>
      </c>
      <c r="D45" s="6" t="s">
        <v>230</v>
      </c>
      <c r="E45" s="15">
        <v>10000</v>
      </c>
      <c r="F45" s="5"/>
      <c r="G45" s="5"/>
      <c r="H45" s="5"/>
      <c r="I45" s="5">
        <v>10000</v>
      </c>
      <c r="J45" s="5"/>
      <c r="K45" s="5">
        <v>3000</v>
      </c>
      <c r="L45" s="5"/>
      <c r="M45" s="5"/>
      <c r="N45" s="5"/>
      <c r="O45" s="5"/>
      <c r="P45" s="5"/>
      <c r="Q45" s="5"/>
      <c r="R45" s="5"/>
      <c r="S45" s="5">
        <v>90</v>
      </c>
      <c r="T45" s="5"/>
      <c r="U45" s="5"/>
      <c r="V45" s="5"/>
    </row>
    <row r="46" spans="1:22">
      <c r="A46" t="s">
        <v>6</v>
      </c>
      <c r="B46" s="30" t="s">
        <v>117</v>
      </c>
      <c r="C46" s="3">
        <v>1405</v>
      </c>
      <c r="D46" s="6" t="s">
        <v>231</v>
      </c>
      <c r="E46" s="15">
        <v>15000</v>
      </c>
      <c r="F46" s="5"/>
      <c r="G46" s="5"/>
      <c r="H46" s="5"/>
      <c r="I46" s="5">
        <v>15000</v>
      </c>
      <c r="J46" s="5"/>
      <c r="K46" s="5">
        <v>1500</v>
      </c>
      <c r="L46" s="5"/>
      <c r="M46" s="5"/>
      <c r="N46" s="5"/>
      <c r="O46" s="5"/>
      <c r="P46" s="5"/>
      <c r="Q46" s="5"/>
      <c r="R46" s="5"/>
      <c r="S46" s="5">
        <v>90</v>
      </c>
      <c r="T46" s="5"/>
      <c r="U46" s="5"/>
      <c r="V46" s="5"/>
    </row>
    <row r="47" spans="1:22">
      <c r="A47" t="s">
        <v>6</v>
      </c>
      <c r="B47" s="30" t="s">
        <v>117</v>
      </c>
      <c r="C47" s="3">
        <v>1405</v>
      </c>
      <c r="D47" s="6" t="s">
        <v>232</v>
      </c>
      <c r="E47" s="15">
        <v>15000</v>
      </c>
      <c r="F47" s="5"/>
      <c r="G47" s="5"/>
      <c r="H47" s="5"/>
      <c r="I47" s="5">
        <v>15000</v>
      </c>
      <c r="J47" s="5"/>
      <c r="K47" s="5">
        <v>1500</v>
      </c>
      <c r="L47" s="5"/>
      <c r="M47" s="5"/>
      <c r="N47" s="5"/>
      <c r="O47" s="5"/>
      <c r="P47" s="5"/>
      <c r="Q47" s="5"/>
      <c r="R47" s="5"/>
      <c r="S47" s="5">
        <v>90</v>
      </c>
      <c r="T47" s="5"/>
      <c r="U47" s="5"/>
      <c r="V47" s="5"/>
    </row>
    <row r="48" spans="1:22">
      <c r="A48" t="s">
        <v>6</v>
      </c>
      <c r="B48" s="30" t="s">
        <v>117</v>
      </c>
      <c r="C48" s="3">
        <v>1405</v>
      </c>
      <c r="D48" s="6" t="s">
        <v>233</v>
      </c>
      <c r="E48" s="15">
        <v>20000</v>
      </c>
      <c r="F48" s="5"/>
      <c r="G48" s="5"/>
      <c r="H48" s="5"/>
      <c r="I48" s="5">
        <v>20000</v>
      </c>
      <c r="J48" s="5"/>
      <c r="K48" s="5">
        <v>2000</v>
      </c>
      <c r="L48" s="5"/>
      <c r="M48" s="5"/>
      <c r="N48" s="5"/>
      <c r="O48" s="5"/>
      <c r="P48" s="5"/>
      <c r="Q48" s="5"/>
      <c r="R48" s="5"/>
      <c r="S48" s="5">
        <v>90</v>
      </c>
      <c r="T48" s="5"/>
      <c r="U48" s="5"/>
      <c r="V48" s="5"/>
    </row>
    <row r="49" spans="1:22">
      <c r="A49" t="s">
        <v>6</v>
      </c>
      <c r="B49" s="30" t="s">
        <v>117</v>
      </c>
      <c r="C49" s="3">
        <v>1405</v>
      </c>
      <c r="D49" s="6" t="s">
        <v>234</v>
      </c>
      <c r="E49" s="15">
        <v>20000</v>
      </c>
      <c r="F49" s="5"/>
      <c r="G49" s="5"/>
      <c r="H49" s="5"/>
      <c r="I49" s="5">
        <v>20000</v>
      </c>
      <c r="J49" s="5"/>
      <c r="K49" s="5">
        <v>2000</v>
      </c>
      <c r="L49" s="5"/>
      <c r="M49" s="5"/>
      <c r="N49" s="5"/>
      <c r="O49" s="5"/>
      <c r="P49" s="5"/>
      <c r="Q49" s="5"/>
      <c r="R49" s="5"/>
      <c r="S49" s="5">
        <v>90</v>
      </c>
      <c r="T49" s="5"/>
      <c r="U49" s="5"/>
      <c r="V49" s="5"/>
    </row>
    <row r="50" spans="1:22">
      <c r="A50" t="s">
        <v>6</v>
      </c>
      <c r="B50" s="30" t="s">
        <v>123</v>
      </c>
      <c r="C50" s="3">
        <v>1405</v>
      </c>
      <c r="D50" s="28" t="s">
        <v>223</v>
      </c>
      <c r="E50" s="1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spans="1:22">
      <c r="A51" t="s">
        <v>6</v>
      </c>
      <c r="B51" s="30" t="s">
        <v>123</v>
      </c>
      <c r="C51" s="3">
        <v>1405</v>
      </c>
      <c r="D51" s="28" t="s">
        <v>224</v>
      </c>
      <c r="E51" s="1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spans="1:22">
      <c r="A52" t="s">
        <v>6</v>
      </c>
      <c r="B52" s="30" t="s">
        <v>123</v>
      </c>
      <c r="C52" s="3">
        <v>1405</v>
      </c>
      <c r="D52" s="28" t="s">
        <v>225</v>
      </c>
      <c r="E52" s="15">
        <v>11000</v>
      </c>
      <c r="F52" s="5">
        <v>12000</v>
      </c>
      <c r="G52" s="5"/>
      <c r="H52" s="5"/>
      <c r="I52" s="5"/>
      <c r="J52" s="5"/>
      <c r="K52" s="5"/>
      <c r="L52" s="5"/>
      <c r="M52" s="5"/>
      <c r="N52" s="5"/>
      <c r="O52" s="5">
        <v>5000</v>
      </c>
      <c r="P52" s="5">
        <v>4500</v>
      </c>
      <c r="Q52" s="5"/>
      <c r="R52" s="5"/>
      <c r="S52" s="5"/>
      <c r="T52" s="5"/>
      <c r="U52" s="5"/>
      <c r="V52" s="5"/>
    </row>
    <row r="53" spans="1:22">
      <c r="A53" t="s">
        <v>6</v>
      </c>
      <c r="B53" s="30" t="s">
        <v>123</v>
      </c>
      <c r="C53" s="3">
        <v>1405</v>
      </c>
      <c r="D53" s="28" t="s">
        <v>226</v>
      </c>
      <c r="E53" s="15"/>
      <c r="F53" s="5"/>
      <c r="G53" s="5"/>
      <c r="H53" s="5"/>
      <c r="I53" s="5">
        <v>0</v>
      </c>
      <c r="J53" s="5"/>
      <c r="K53" s="5">
        <v>5000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spans="1:22">
      <c r="A54" t="s">
        <v>6</v>
      </c>
      <c r="B54" s="30" t="s">
        <v>123</v>
      </c>
      <c r="C54" s="3">
        <v>1405</v>
      </c>
      <c r="D54" s="6" t="s">
        <v>227</v>
      </c>
      <c r="E54" s="15"/>
      <c r="F54" s="5"/>
      <c r="G54" s="5"/>
      <c r="H54" s="5"/>
      <c r="I54" s="5">
        <v>0</v>
      </c>
      <c r="J54" s="5"/>
      <c r="K54" s="5">
        <v>5000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spans="1:22">
      <c r="A55" t="s">
        <v>6</v>
      </c>
      <c r="B55" s="30" t="s">
        <v>123</v>
      </c>
      <c r="C55" s="3">
        <v>1405</v>
      </c>
      <c r="D55" s="6" t="s">
        <v>228</v>
      </c>
      <c r="E55" s="15"/>
      <c r="F55" s="5"/>
      <c r="G55" s="5"/>
      <c r="H55" s="5"/>
      <c r="I55" s="5">
        <v>0</v>
      </c>
      <c r="J55" s="5"/>
      <c r="K55" s="5">
        <v>5000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spans="1:22">
      <c r="A56" t="s">
        <v>6</v>
      </c>
      <c r="B56" s="30" t="s">
        <v>123</v>
      </c>
      <c r="C56" s="3">
        <v>1405</v>
      </c>
      <c r="D56" s="6" t="s">
        <v>229</v>
      </c>
      <c r="E56" s="15"/>
      <c r="F56" s="5"/>
      <c r="G56" s="5"/>
      <c r="H56" s="5"/>
      <c r="I56" s="5">
        <v>0</v>
      </c>
      <c r="J56" s="5"/>
      <c r="K56" s="5">
        <v>5000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spans="1:22">
      <c r="A57" t="s">
        <v>6</v>
      </c>
      <c r="B57" s="30" t="s">
        <v>123</v>
      </c>
      <c r="C57" s="3">
        <v>1405</v>
      </c>
      <c r="D57" s="6" t="s">
        <v>230</v>
      </c>
      <c r="E57" s="15"/>
      <c r="F57" s="5"/>
      <c r="G57" s="5"/>
      <c r="H57" s="5"/>
      <c r="I57" s="5">
        <v>0</v>
      </c>
      <c r="J57" s="5"/>
      <c r="K57" s="5">
        <v>5000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spans="1:22">
      <c r="A58" t="s">
        <v>6</v>
      </c>
      <c r="B58" s="30" t="s">
        <v>123</v>
      </c>
      <c r="C58" s="3">
        <v>1405</v>
      </c>
      <c r="D58" s="6" t="s">
        <v>231</v>
      </c>
      <c r="E58" s="15"/>
      <c r="F58" s="5"/>
      <c r="G58" s="5"/>
      <c r="H58" s="5"/>
      <c r="I58" s="5">
        <v>0</v>
      </c>
      <c r="J58" s="5"/>
      <c r="K58" s="5">
        <v>5000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spans="1:22">
      <c r="A59" t="s">
        <v>6</v>
      </c>
      <c r="B59" s="30" t="s">
        <v>123</v>
      </c>
      <c r="C59" s="3">
        <v>1405</v>
      </c>
      <c r="D59" s="6" t="s">
        <v>232</v>
      </c>
      <c r="E59" s="15"/>
      <c r="F59" s="5"/>
      <c r="G59" s="5"/>
      <c r="H59" s="5"/>
      <c r="I59" s="5">
        <v>0</v>
      </c>
      <c r="J59" s="5"/>
      <c r="K59" s="5">
        <v>5000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spans="1:22">
      <c r="A60" t="s">
        <v>6</v>
      </c>
      <c r="B60" s="30" t="s">
        <v>123</v>
      </c>
      <c r="C60" s="3">
        <v>1405</v>
      </c>
      <c r="D60" s="6" t="s">
        <v>233</v>
      </c>
      <c r="E60" s="15">
        <v>50000</v>
      </c>
      <c r="F60" s="5"/>
      <c r="G60" s="5"/>
      <c r="H60" s="5"/>
      <c r="I60" s="5">
        <v>50000</v>
      </c>
      <c r="J60" s="5"/>
      <c r="K60" s="5">
        <v>10000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spans="1:22">
      <c r="A61" t="s">
        <v>6</v>
      </c>
      <c r="B61" s="30" t="s">
        <v>123</v>
      </c>
      <c r="C61" s="3">
        <v>1405</v>
      </c>
      <c r="D61" s="6" t="s">
        <v>234</v>
      </c>
      <c r="E61" s="15">
        <v>50000</v>
      </c>
      <c r="F61" s="5"/>
      <c r="G61" s="5"/>
      <c r="H61" s="5"/>
      <c r="I61" s="5">
        <v>50000</v>
      </c>
      <c r="J61" s="5"/>
      <c r="K61" s="5">
        <v>15000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spans="1:22">
      <c r="A62" t="s">
        <v>6</v>
      </c>
      <c r="B62" s="30" t="s">
        <v>128</v>
      </c>
      <c r="C62" s="3">
        <v>1405</v>
      </c>
      <c r="D62" s="28" t="s">
        <v>223</v>
      </c>
      <c r="E62" s="1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spans="1:22">
      <c r="A63" t="s">
        <v>6</v>
      </c>
      <c r="B63" s="30" t="s">
        <v>128</v>
      </c>
      <c r="C63" s="3">
        <v>1405</v>
      </c>
      <c r="D63" s="28" t="s">
        <v>224</v>
      </c>
      <c r="E63" s="1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spans="1:22">
      <c r="A64" t="s">
        <v>6</v>
      </c>
      <c r="B64" s="30" t="s">
        <v>128</v>
      </c>
      <c r="C64" s="3">
        <v>1405</v>
      </c>
      <c r="D64" s="28" t="s">
        <v>225</v>
      </c>
      <c r="E64" s="15">
        <v>9000</v>
      </c>
      <c r="F64" s="5">
        <v>8888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spans="1:22">
      <c r="A65" t="s">
        <v>6</v>
      </c>
      <c r="B65" s="30" t="s">
        <v>128</v>
      </c>
      <c r="C65" s="3">
        <v>1405</v>
      </c>
      <c r="D65" s="28" t="s">
        <v>226</v>
      </c>
      <c r="E65" s="15"/>
      <c r="F65" s="5"/>
      <c r="G65" s="5"/>
      <c r="H65" s="5"/>
      <c r="I65" s="5">
        <v>0</v>
      </c>
      <c r="J65" s="5"/>
      <c r="K65" s="5">
        <v>2500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spans="1:22">
      <c r="A66" t="s">
        <v>6</v>
      </c>
      <c r="B66" s="30" t="s">
        <v>128</v>
      </c>
      <c r="C66" s="3">
        <v>1405</v>
      </c>
      <c r="D66" s="6" t="s">
        <v>227</v>
      </c>
      <c r="E66" s="15"/>
      <c r="F66" s="5"/>
      <c r="G66" s="5"/>
      <c r="H66" s="5"/>
      <c r="I66" s="5">
        <v>0</v>
      </c>
      <c r="J66" s="5"/>
      <c r="K66" s="5">
        <v>2500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spans="1:22">
      <c r="A67" t="s">
        <v>6</v>
      </c>
      <c r="B67" s="30" t="s">
        <v>128</v>
      </c>
      <c r="C67" s="3">
        <v>1405</v>
      </c>
      <c r="D67" s="6" t="s">
        <v>228</v>
      </c>
      <c r="E67" s="15"/>
      <c r="F67" s="5"/>
      <c r="G67" s="5"/>
      <c r="H67" s="5"/>
      <c r="I67" s="5">
        <v>0</v>
      </c>
      <c r="J67" s="5"/>
      <c r="K67" s="5">
        <v>2500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spans="1:22">
      <c r="A68" t="s">
        <v>6</v>
      </c>
      <c r="B68" s="30" t="s">
        <v>128</v>
      </c>
      <c r="C68" s="3">
        <v>1405</v>
      </c>
      <c r="D68" s="6" t="s">
        <v>229</v>
      </c>
      <c r="E68" s="15"/>
      <c r="F68" s="5"/>
      <c r="G68" s="5"/>
      <c r="H68" s="5"/>
      <c r="I68" s="5">
        <v>0</v>
      </c>
      <c r="J68" s="5"/>
      <c r="K68" s="5">
        <v>2500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spans="1:22">
      <c r="A69" t="s">
        <v>6</v>
      </c>
      <c r="B69" s="30" t="s">
        <v>128</v>
      </c>
      <c r="C69" s="3">
        <v>1405</v>
      </c>
      <c r="D69" s="6" t="s">
        <v>230</v>
      </c>
      <c r="E69" s="15"/>
      <c r="F69" s="5"/>
      <c r="G69" s="5"/>
      <c r="H69" s="5"/>
      <c r="I69" s="5">
        <v>0</v>
      </c>
      <c r="J69" s="5"/>
      <c r="K69" s="5">
        <v>2500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spans="1:22">
      <c r="A70" t="s">
        <v>6</v>
      </c>
      <c r="B70" s="30" t="s">
        <v>128</v>
      </c>
      <c r="C70" s="3">
        <v>1405</v>
      </c>
      <c r="D70" s="6" t="s">
        <v>231</v>
      </c>
      <c r="E70" s="15"/>
      <c r="F70" s="5"/>
      <c r="G70" s="5"/>
      <c r="H70" s="5"/>
      <c r="I70" s="5">
        <v>0</v>
      </c>
      <c r="J70" s="5"/>
      <c r="K70" s="5">
        <v>2500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spans="1:22">
      <c r="A71" t="s">
        <v>6</v>
      </c>
      <c r="B71" s="30" t="s">
        <v>128</v>
      </c>
      <c r="C71" s="3">
        <v>1405</v>
      </c>
      <c r="D71" s="6" t="s">
        <v>232</v>
      </c>
      <c r="E71" s="15"/>
      <c r="F71" s="5"/>
      <c r="G71" s="5"/>
      <c r="H71" s="5"/>
      <c r="I71" s="5">
        <v>0</v>
      </c>
      <c r="J71" s="5"/>
      <c r="K71" s="5">
        <v>2500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spans="1:22">
      <c r="A72" t="s">
        <v>6</v>
      </c>
      <c r="B72" s="30" t="s">
        <v>128</v>
      </c>
      <c r="C72" s="3">
        <v>1405</v>
      </c>
      <c r="D72" s="6" t="s">
        <v>233</v>
      </c>
      <c r="E72" s="15">
        <v>5000</v>
      </c>
      <c r="F72" s="5"/>
      <c r="G72" s="5"/>
      <c r="H72" s="5"/>
      <c r="I72" s="5">
        <v>5000</v>
      </c>
      <c r="J72" s="5"/>
      <c r="K72" s="5">
        <v>2500</v>
      </c>
      <c r="L72" s="5"/>
      <c r="M72" s="5">
        <v>500</v>
      </c>
      <c r="N72" s="5"/>
      <c r="O72" s="5"/>
      <c r="P72" s="5"/>
      <c r="Q72" s="5"/>
      <c r="R72" s="5"/>
      <c r="S72" s="5"/>
      <c r="T72" s="5"/>
      <c r="U72" s="5"/>
      <c r="V72" s="5"/>
    </row>
    <row r="73" spans="1:22">
      <c r="A73" t="s">
        <v>6</v>
      </c>
      <c r="B73" s="30" t="s">
        <v>128</v>
      </c>
      <c r="C73" s="3">
        <v>1405</v>
      </c>
      <c r="D73" s="6" t="s">
        <v>234</v>
      </c>
      <c r="E73" s="15">
        <v>5000</v>
      </c>
      <c r="F73" s="5"/>
      <c r="G73" s="5"/>
      <c r="H73" s="5"/>
      <c r="I73" s="5">
        <v>5000</v>
      </c>
      <c r="J73" s="5"/>
      <c r="K73" s="5">
        <v>5000</v>
      </c>
      <c r="L73" s="5"/>
      <c r="M73" s="5">
        <v>500</v>
      </c>
      <c r="N73" s="5"/>
      <c r="O73" s="5"/>
      <c r="P73" s="5"/>
      <c r="Q73" s="5"/>
      <c r="R73" s="5"/>
      <c r="S73" s="5"/>
      <c r="T73" s="5"/>
      <c r="U73" s="5"/>
      <c r="V73" s="5"/>
    </row>
    <row r="74" spans="1:22" ht="57.6">
      <c r="A74" t="s">
        <v>6</v>
      </c>
      <c r="B74" s="30" t="s">
        <v>24</v>
      </c>
      <c r="C74" s="3">
        <v>1405</v>
      </c>
      <c r="D74" s="28" t="s">
        <v>223</v>
      </c>
      <c r="E74" s="1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 t="s">
        <v>235</v>
      </c>
    </row>
    <row r="75" spans="1:22" ht="57.6">
      <c r="A75" t="s">
        <v>6</v>
      </c>
      <c r="B75" s="30" t="s">
        <v>24</v>
      </c>
      <c r="C75" s="3">
        <v>1405</v>
      </c>
      <c r="D75" s="28" t="s">
        <v>224</v>
      </c>
      <c r="E75" s="1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 t="s">
        <v>235</v>
      </c>
    </row>
    <row r="76" spans="1:22" ht="57.6">
      <c r="A76" t="s">
        <v>6</v>
      </c>
      <c r="B76" s="30" t="s">
        <v>24</v>
      </c>
      <c r="C76" s="3">
        <v>1405</v>
      </c>
      <c r="D76" s="28" t="s">
        <v>225</v>
      </c>
      <c r="E76" s="1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 t="s">
        <v>235</v>
      </c>
    </row>
    <row r="77" spans="1:22" ht="57.6">
      <c r="A77" t="s">
        <v>6</v>
      </c>
      <c r="B77" s="30" t="s">
        <v>24</v>
      </c>
      <c r="C77" s="3">
        <v>1405</v>
      </c>
      <c r="D77" s="28" t="s">
        <v>226</v>
      </c>
      <c r="E77" s="1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 t="s">
        <v>235</v>
      </c>
    </row>
    <row r="78" spans="1:22" ht="57.6">
      <c r="A78" t="s">
        <v>6</v>
      </c>
      <c r="B78" s="30" t="s">
        <v>24</v>
      </c>
      <c r="C78" s="3">
        <v>1405</v>
      </c>
      <c r="D78" s="6" t="s">
        <v>227</v>
      </c>
      <c r="E78" s="1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 t="s">
        <v>235</v>
      </c>
    </row>
    <row r="79" spans="1:22" ht="57.6">
      <c r="A79" t="s">
        <v>6</v>
      </c>
      <c r="B79" s="30" t="s">
        <v>24</v>
      </c>
      <c r="C79" s="3">
        <v>1405</v>
      </c>
      <c r="D79" s="6" t="s">
        <v>228</v>
      </c>
      <c r="E79" s="1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 t="s">
        <v>235</v>
      </c>
    </row>
    <row r="80" spans="1:22" ht="57.6">
      <c r="A80" t="s">
        <v>6</v>
      </c>
      <c r="B80" s="30" t="s">
        <v>24</v>
      </c>
      <c r="C80" s="3">
        <v>1405</v>
      </c>
      <c r="D80" s="6" t="s">
        <v>229</v>
      </c>
      <c r="E80" s="1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 t="s">
        <v>235</v>
      </c>
    </row>
    <row r="81" spans="1:22" ht="57.6">
      <c r="A81" t="s">
        <v>6</v>
      </c>
      <c r="B81" s="30" t="s">
        <v>24</v>
      </c>
      <c r="C81" s="3">
        <v>1405</v>
      </c>
      <c r="D81" s="6" t="s">
        <v>230</v>
      </c>
      <c r="E81" s="1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 t="s">
        <v>235</v>
      </c>
    </row>
    <row r="82" spans="1:22" ht="57.6">
      <c r="A82" t="s">
        <v>6</v>
      </c>
      <c r="B82" s="30" t="s">
        <v>24</v>
      </c>
      <c r="C82" s="3">
        <v>1405</v>
      </c>
      <c r="D82" s="6" t="s">
        <v>231</v>
      </c>
      <c r="E82" s="1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 t="s">
        <v>235</v>
      </c>
    </row>
    <row r="83" spans="1:22" ht="57.6">
      <c r="A83" t="s">
        <v>6</v>
      </c>
      <c r="B83" s="30" t="s">
        <v>24</v>
      </c>
      <c r="C83" s="3">
        <v>1405</v>
      </c>
      <c r="D83" s="6" t="s">
        <v>232</v>
      </c>
      <c r="E83" s="1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 t="s">
        <v>235</v>
      </c>
    </row>
    <row r="84" spans="1:22" ht="57.6">
      <c r="A84" t="s">
        <v>6</v>
      </c>
      <c r="B84" s="30" t="s">
        <v>24</v>
      </c>
      <c r="C84" s="3">
        <v>1405</v>
      </c>
      <c r="D84" s="6" t="s">
        <v>233</v>
      </c>
      <c r="E84" s="1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 t="s">
        <v>235</v>
      </c>
    </row>
    <row r="85" spans="1:22" ht="57.6">
      <c r="A85" t="s">
        <v>6</v>
      </c>
      <c r="B85" s="30" t="s">
        <v>24</v>
      </c>
      <c r="C85" s="3">
        <v>1405</v>
      </c>
      <c r="D85" s="6" t="s">
        <v>234</v>
      </c>
      <c r="E85" s="1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 t="s">
        <v>235</v>
      </c>
    </row>
  </sheetData>
  <sortState xmlns:xlrd2="http://schemas.microsoft.com/office/spreadsheetml/2017/richdata2" ref="B2:C2">
    <sortCondition ref="B2"/>
    <sortCondition ref="C2"/>
  </sortState>
  <conditionalFormatting sqref="A1">
    <cfRule type="duplicateValues" dxfId="30" priority="1"/>
    <cfRule type="duplicateValues" dxfId="29" priority="2"/>
  </conditionalFormatting>
  <conditionalFormatting sqref="B1:D1">
    <cfRule type="duplicateValues" dxfId="28" priority="19"/>
  </conditionalFormatting>
  <dataValidations count="2">
    <dataValidation type="list" allowBlank="1" showInputMessage="1" showErrorMessage="1" sqref="D2:D1048576" xr:uid="{9E26253B-FF0D-4C01-BAB6-83FD1E5E5EB8}">
      <formula1>"فروردین ,اردیبهشت ,خرداد ,تیر ,مرداد ,شهریور ,مهر ,آبان ,آذر ,دی ,بهمن ,اسفند"</formula1>
    </dataValidation>
    <dataValidation type="decimal" sqref="T2:T85" xr:uid="{2572E181-603E-49B0-9BA1-ADC7F36A6E06}">
      <formula1>0</formula1>
      <formula2>100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9A3B42E-B133-42BF-824C-929C98E8FDA4}">
          <x14:formula1>
            <xm:f>'کسب و کار'!$B:$B</xm:f>
          </x14:formula1>
          <xm:sqref>B2:B1048576</xm:sqref>
        </x14:dataValidation>
        <x14:dataValidation type="list" allowBlank="1" showInputMessage="1" showErrorMessage="1" xr:uid="{983A09C2-2B15-41E4-90F4-A98EA9ABB12D}">
          <x14:formula1>
            <xm:f>'واحد تجاری'!$A:$A</xm:f>
          </x14:formula1>
          <xm:sqref>A2:A1048550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A2474-AEAF-48B5-BD55-6B210CCB8AA1}">
  <sheetPr filterMode="1"/>
  <dimension ref="A1:M28"/>
  <sheetViews>
    <sheetView rightToLeft="1" workbookViewId="0">
      <selection activeCell="A23" sqref="A23"/>
    </sheetView>
  </sheetViews>
  <sheetFormatPr defaultRowHeight="14.4"/>
  <cols>
    <col min="1" max="1" width="25.33203125" customWidth="1"/>
    <col min="2" max="2" width="25.5546875" customWidth="1"/>
    <col min="3" max="3" width="24.44140625" customWidth="1"/>
    <col min="4" max="4" width="13.6640625" customWidth="1"/>
    <col min="5" max="5" width="15.109375" customWidth="1"/>
    <col min="6" max="6" width="13.77734375" customWidth="1"/>
    <col min="8" max="8" width="12.5546875" customWidth="1"/>
    <col min="9" max="9" width="11.77734375" customWidth="1"/>
    <col min="10" max="10" width="13.21875" customWidth="1"/>
    <col min="11" max="11" width="10.88671875" customWidth="1"/>
    <col min="12" max="12" width="18.33203125" customWidth="1"/>
    <col min="13" max="13" width="50.33203125" customWidth="1"/>
  </cols>
  <sheetData>
    <row r="1" spans="1:13" ht="42" customHeight="1">
      <c r="A1" s="23" t="s">
        <v>66</v>
      </c>
      <c r="B1" s="23" t="s">
        <v>96</v>
      </c>
      <c r="C1" s="23" t="s">
        <v>97</v>
      </c>
      <c r="D1" s="23" t="s">
        <v>56</v>
      </c>
      <c r="E1" s="23" t="s">
        <v>57</v>
      </c>
      <c r="F1" s="23" t="s">
        <v>58</v>
      </c>
      <c r="G1" s="23" t="s">
        <v>34</v>
      </c>
      <c r="H1" s="23" t="s">
        <v>35</v>
      </c>
      <c r="I1" s="23" t="s">
        <v>59</v>
      </c>
      <c r="J1" s="23" t="s">
        <v>60</v>
      </c>
      <c r="K1" s="23" t="s">
        <v>61</v>
      </c>
      <c r="L1" s="23" t="s">
        <v>62</v>
      </c>
      <c r="M1" s="23" t="s">
        <v>53</v>
      </c>
    </row>
    <row r="2" spans="1:13" ht="22.8" hidden="1">
      <c r="A2" t="s">
        <v>6</v>
      </c>
      <c r="B2" s="15" t="s">
        <v>99</v>
      </c>
      <c r="C2" s="15" t="s">
        <v>138</v>
      </c>
      <c r="D2" s="15" t="s">
        <v>140</v>
      </c>
      <c r="E2" s="15" t="s">
        <v>236</v>
      </c>
      <c r="F2" s="15" t="s">
        <v>237</v>
      </c>
      <c r="G2" s="15">
        <v>1405</v>
      </c>
      <c r="H2" s="15" t="s">
        <v>238</v>
      </c>
      <c r="I2" s="15">
        <v>80</v>
      </c>
      <c r="J2" s="31">
        <v>100</v>
      </c>
      <c r="K2" s="15">
        <f t="shared" ref="K2:K28" si="0">IF(OR(I2="",J2=""),"",IFERROR(J2/I2*100,""))</f>
        <v>125</v>
      </c>
      <c r="L2" s="31"/>
      <c r="M2" s="15" t="s">
        <v>239</v>
      </c>
    </row>
    <row r="3" spans="1:13" ht="22.8" hidden="1">
      <c r="A3" t="s">
        <v>6</v>
      </c>
      <c r="B3" s="15" t="s">
        <v>99</v>
      </c>
      <c r="C3" s="15" t="s">
        <v>138</v>
      </c>
      <c r="D3" s="15" t="s">
        <v>140</v>
      </c>
      <c r="E3" s="15" t="s">
        <v>236</v>
      </c>
      <c r="F3" s="15" t="s">
        <v>237</v>
      </c>
      <c r="G3" s="15">
        <v>1405</v>
      </c>
      <c r="H3" s="15" t="s">
        <v>240</v>
      </c>
      <c r="I3" s="15">
        <v>80</v>
      </c>
      <c r="J3" s="31"/>
      <c r="K3" s="15" t="str">
        <f t="shared" si="0"/>
        <v/>
      </c>
      <c r="L3" s="31"/>
      <c r="M3" s="15" t="s">
        <v>239</v>
      </c>
    </row>
    <row r="4" spans="1:13" ht="22.8" hidden="1">
      <c r="A4" t="s">
        <v>6</v>
      </c>
      <c r="B4" s="15" t="s">
        <v>99</v>
      </c>
      <c r="C4" s="15" t="s">
        <v>138</v>
      </c>
      <c r="D4" s="15" t="s">
        <v>140</v>
      </c>
      <c r="E4" s="15" t="s">
        <v>236</v>
      </c>
      <c r="F4" s="15" t="s">
        <v>237</v>
      </c>
      <c r="G4" s="15">
        <v>1405</v>
      </c>
      <c r="H4" s="15" t="s">
        <v>241</v>
      </c>
      <c r="I4" s="15">
        <v>80</v>
      </c>
      <c r="J4" s="31"/>
      <c r="K4" s="15" t="str">
        <f t="shared" si="0"/>
        <v/>
      </c>
      <c r="L4" s="31"/>
      <c r="M4" s="15" t="s">
        <v>239</v>
      </c>
    </row>
    <row r="5" spans="1:13" ht="22.8" hidden="1">
      <c r="A5" t="s">
        <v>6</v>
      </c>
      <c r="B5" s="15" t="s">
        <v>99</v>
      </c>
      <c r="C5" s="15" t="s">
        <v>138</v>
      </c>
      <c r="D5" s="15" t="s">
        <v>140</v>
      </c>
      <c r="E5" s="15" t="s">
        <v>236</v>
      </c>
      <c r="F5" s="15" t="s">
        <v>237</v>
      </c>
      <c r="G5" s="15">
        <v>1405</v>
      </c>
      <c r="H5" s="15" t="s">
        <v>242</v>
      </c>
      <c r="I5" s="15">
        <v>80</v>
      </c>
      <c r="J5" s="31"/>
      <c r="K5" s="15" t="str">
        <f t="shared" si="0"/>
        <v/>
      </c>
      <c r="L5" s="31"/>
      <c r="M5" s="15" t="s">
        <v>239</v>
      </c>
    </row>
    <row r="6" spans="1:13" ht="22.8" hidden="1">
      <c r="A6" t="s">
        <v>6</v>
      </c>
      <c r="B6" s="15" t="s">
        <v>99</v>
      </c>
      <c r="C6" s="15" t="s">
        <v>138</v>
      </c>
      <c r="D6" s="15" t="s">
        <v>140</v>
      </c>
      <c r="E6" s="15" t="s">
        <v>236</v>
      </c>
      <c r="F6" s="15" t="s">
        <v>237</v>
      </c>
      <c r="G6" s="15">
        <v>1405</v>
      </c>
      <c r="H6" s="15" t="s">
        <v>243</v>
      </c>
      <c r="I6" s="15">
        <v>80</v>
      </c>
      <c r="J6" s="31"/>
      <c r="K6" s="15" t="str">
        <f t="shared" si="0"/>
        <v/>
      </c>
      <c r="L6" s="31"/>
      <c r="M6" s="15" t="s">
        <v>239</v>
      </c>
    </row>
    <row r="7" spans="1:13" ht="22.8" hidden="1">
      <c r="A7" t="s">
        <v>6</v>
      </c>
      <c r="B7" s="15" t="s">
        <v>99</v>
      </c>
      <c r="C7" s="15" t="s">
        <v>138</v>
      </c>
      <c r="D7" s="15" t="s">
        <v>140</v>
      </c>
      <c r="E7" s="15" t="s">
        <v>236</v>
      </c>
      <c r="F7" s="15" t="s">
        <v>237</v>
      </c>
      <c r="G7" s="15">
        <v>1405</v>
      </c>
      <c r="H7" s="15" t="s">
        <v>234</v>
      </c>
      <c r="I7" s="15">
        <v>80</v>
      </c>
      <c r="J7" s="31"/>
      <c r="K7" s="15" t="str">
        <f t="shared" si="0"/>
        <v/>
      </c>
      <c r="L7" s="31"/>
      <c r="M7" s="15" t="s">
        <v>239</v>
      </c>
    </row>
    <row r="8" spans="1:13" ht="22.8" hidden="1">
      <c r="A8" t="s">
        <v>6</v>
      </c>
      <c r="B8" s="15" t="s">
        <v>244</v>
      </c>
      <c r="C8" s="15" t="s">
        <v>138</v>
      </c>
      <c r="D8" s="15" t="s">
        <v>140</v>
      </c>
      <c r="E8" s="15" t="s">
        <v>236</v>
      </c>
      <c r="F8" s="15" t="s">
        <v>237</v>
      </c>
      <c r="G8" s="15">
        <v>1405</v>
      </c>
      <c r="H8" s="15" t="s">
        <v>242</v>
      </c>
      <c r="I8" s="15">
        <v>90</v>
      </c>
      <c r="J8" s="31"/>
      <c r="K8" s="15" t="str">
        <f t="shared" si="0"/>
        <v/>
      </c>
      <c r="L8" s="31"/>
      <c r="M8" s="15" t="s">
        <v>239</v>
      </c>
    </row>
    <row r="9" spans="1:13" ht="22.8" hidden="1">
      <c r="A9" t="s">
        <v>6</v>
      </c>
      <c r="B9" s="15" t="s">
        <v>244</v>
      </c>
      <c r="C9" s="15" t="s">
        <v>138</v>
      </c>
      <c r="D9" s="15" t="s">
        <v>140</v>
      </c>
      <c r="E9" s="15" t="s">
        <v>236</v>
      </c>
      <c r="F9" s="15" t="s">
        <v>237</v>
      </c>
      <c r="G9" s="15">
        <v>1405</v>
      </c>
      <c r="H9" s="15" t="s">
        <v>243</v>
      </c>
      <c r="I9" s="15">
        <v>90</v>
      </c>
      <c r="J9" s="31"/>
      <c r="K9" s="15" t="str">
        <f t="shared" si="0"/>
        <v/>
      </c>
      <c r="L9" s="31"/>
      <c r="M9" s="15" t="s">
        <v>239</v>
      </c>
    </row>
    <row r="10" spans="1:13" ht="22.8" hidden="1">
      <c r="A10" t="s">
        <v>6</v>
      </c>
      <c r="B10" s="15" t="s">
        <v>244</v>
      </c>
      <c r="C10" s="15" t="s">
        <v>138</v>
      </c>
      <c r="D10" s="15" t="s">
        <v>140</v>
      </c>
      <c r="E10" s="15" t="s">
        <v>236</v>
      </c>
      <c r="F10" s="15" t="s">
        <v>237</v>
      </c>
      <c r="G10" s="15">
        <v>1405</v>
      </c>
      <c r="H10" s="15" t="s">
        <v>234</v>
      </c>
      <c r="I10" s="15">
        <v>90</v>
      </c>
      <c r="J10" s="31"/>
      <c r="K10" s="15" t="str">
        <f t="shared" si="0"/>
        <v/>
      </c>
      <c r="L10" s="31"/>
      <c r="M10" s="15" t="s">
        <v>239</v>
      </c>
    </row>
    <row r="11" spans="1:13" ht="22.8" hidden="1">
      <c r="A11" t="s">
        <v>6</v>
      </c>
      <c r="B11" s="15" t="s">
        <v>111</v>
      </c>
      <c r="C11" s="15" t="s">
        <v>138</v>
      </c>
      <c r="D11" s="15" t="s">
        <v>140</v>
      </c>
      <c r="E11" s="15" t="s">
        <v>236</v>
      </c>
      <c r="F11" s="15" t="s">
        <v>237</v>
      </c>
      <c r="G11" s="15">
        <v>1405</v>
      </c>
      <c r="H11" s="15" t="s">
        <v>238</v>
      </c>
      <c r="I11" s="15">
        <v>90</v>
      </c>
      <c r="J11" s="31"/>
      <c r="K11" s="15" t="str">
        <f t="shared" si="0"/>
        <v/>
      </c>
      <c r="L11" s="31"/>
      <c r="M11" s="15" t="s">
        <v>239</v>
      </c>
    </row>
    <row r="12" spans="1:13" ht="22.8" hidden="1">
      <c r="A12" t="s">
        <v>6</v>
      </c>
      <c r="B12" s="15" t="s">
        <v>111</v>
      </c>
      <c r="C12" s="15" t="s">
        <v>138</v>
      </c>
      <c r="D12" s="15" t="s">
        <v>140</v>
      </c>
      <c r="E12" s="15" t="s">
        <v>236</v>
      </c>
      <c r="F12" s="15" t="s">
        <v>237</v>
      </c>
      <c r="G12" s="15">
        <v>1405</v>
      </c>
      <c r="H12" s="15" t="s">
        <v>240</v>
      </c>
      <c r="I12" s="15">
        <v>91</v>
      </c>
      <c r="J12" s="31"/>
      <c r="K12" s="15" t="str">
        <f t="shared" si="0"/>
        <v/>
      </c>
      <c r="L12" s="31"/>
      <c r="M12" s="15" t="s">
        <v>239</v>
      </c>
    </row>
    <row r="13" spans="1:13" ht="22.8" hidden="1">
      <c r="A13" t="s">
        <v>6</v>
      </c>
      <c r="B13" s="15" t="s">
        <v>111</v>
      </c>
      <c r="C13" s="15" t="s">
        <v>138</v>
      </c>
      <c r="D13" s="15" t="s">
        <v>140</v>
      </c>
      <c r="E13" s="15" t="s">
        <v>236</v>
      </c>
      <c r="F13" s="15" t="s">
        <v>237</v>
      </c>
      <c r="G13" s="15">
        <v>1405</v>
      </c>
      <c r="H13" s="15" t="s">
        <v>241</v>
      </c>
      <c r="I13" s="15">
        <v>92</v>
      </c>
      <c r="J13" s="31"/>
      <c r="K13" s="15" t="str">
        <f t="shared" si="0"/>
        <v/>
      </c>
      <c r="L13" s="31"/>
      <c r="M13" s="15" t="s">
        <v>239</v>
      </c>
    </row>
    <row r="14" spans="1:13" ht="22.8" hidden="1">
      <c r="A14" t="s">
        <v>6</v>
      </c>
      <c r="B14" s="15" t="s">
        <v>111</v>
      </c>
      <c r="C14" s="15" t="s">
        <v>138</v>
      </c>
      <c r="D14" s="15" t="s">
        <v>140</v>
      </c>
      <c r="E14" s="15" t="s">
        <v>236</v>
      </c>
      <c r="F14" s="15" t="s">
        <v>237</v>
      </c>
      <c r="G14" s="15">
        <v>1405</v>
      </c>
      <c r="H14" s="15" t="s">
        <v>242</v>
      </c>
      <c r="I14" s="15">
        <v>93</v>
      </c>
      <c r="J14" s="31"/>
      <c r="K14" s="15" t="str">
        <f t="shared" si="0"/>
        <v/>
      </c>
      <c r="L14" s="31"/>
      <c r="M14" s="15" t="s">
        <v>239</v>
      </c>
    </row>
    <row r="15" spans="1:13" ht="22.8" hidden="1">
      <c r="A15" t="s">
        <v>6</v>
      </c>
      <c r="B15" s="15" t="s">
        <v>111</v>
      </c>
      <c r="C15" s="15" t="s">
        <v>138</v>
      </c>
      <c r="D15" s="15" t="s">
        <v>140</v>
      </c>
      <c r="E15" s="15" t="s">
        <v>236</v>
      </c>
      <c r="F15" s="15" t="s">
        <v>237</v>
      </c>
      <c r="G15" s="15">
        <v>1405</v>
      </c>
      <c r="H15" s="15" t="s">
        <v>243</v>
      </c>
      <c r="I15" s="15">
        <v>94</v>
      </c>
      <c r="J15" s="31"/>
      <c r="K15" s="15" t="str">
        <f t="shared" si="0"/>
        <v/>
      </c>
      <c r="L15" s="31"/>
      <c r="M15" s="15" t="s">
        <v>239</v>
      </c>
    </row>
    <row r="16" spans="1:13" ht="22.8" hidden="1">
      <c r="A16" t="s">
        <v>6</v>
      </c>
      <c r="B16" s="15" t="s">
        <v>111</v>
      </c>
      <c r="C16" s="15" t="s">
        <v>138</v>
      </c>
      <c r="D16" s="15" t="s">
        <v>140</v>
      </c>
      <c r="E16" s="15" t="s">
        <v>236</v>
      </c>
      <c r="F16" s="15" t="s">
        <v>237</v>
      </c>
      <c r="G16" s="15">
        <v>1405</v>
      </c>
      <c r="H16" s="15" t="s">
        <v>234</v>
      </c>
      <c r="I16" s="15">
        <v>95</v>
      </c>
      <c r="J16" s="31"/>
      <c r="K16" s="15" t="str">
        <f t="shared" si="0"/>
        <v/>
      </c>
      <c r="L16" s="31"/>
      <c r="M16" s="15" t="s">
        <v>239</v>
      </c>
    </row>
    <row r="17" spans="1:13" ht="22.8" hidden="1">
      <c r="A17" t="s">
        <v>6</v>
      </c>
      <c r="B17" s="15" t="s">
        <v>117</v>
      </c>
      <c r="C17" s="15" t="s">
        <v>138</v>
      </c>
      <c r="D17" s="15" t="s">
        <v>140</v>
      </c>
      <c r="E17" s="15" t="s">
        <v>236</v>
      </c>
      <c r="F17" s="15" t="s">
        <v>237</v>
      </c>
      <c r="G17" s="15">
        <v>1405</v>
      </c>
      <c r="H17" s="15" t="s">
        <v>245</v>
      </c>
      <c r="I17" s="15">
        <v>90</v>
      </c>
      <c r="J17" s="31"/>
      <c r="K17" s="15" t="str">
        <f t="shared" si="0"/>
        <v/>
      </c>
      <c r="L17" s="31"/>
      <c r="M17" s="15" t="s">
        <v>239</v>
      </c>
    </row>
    <row r="18" spans="1:13" ht="22.8" hidden="1">
      <c r="A18" t="s">
        <v>6</v>
      </c>
      <c r="B18" s="15" t="s">
        <v>117</v>
      </c>
      <c r="C18" s="15" t="s">
        <v>138</v>
      </c>
      <c r="D18" s="15" t="s">
        <v>140</v>
      </c>
      <c r="E18" s="15" t="s">
        <v>236</v>
      </c>
      <c r="F18" s="15" t="s">
        <v>237</v>
      </c>
      <c r="G18" s="15">
        <v>1405</v>
      </c>
      <c r="H18" s="15" t="s">
        <v>246</v>
      </c>
      <c r="I18" s="15">
        <v>90</v>
      </c>
      <c r="J18" s="31"/>
      <c r="K18" s="15" t="str">
        <f t="shared" si="0"/>
        <v/>
      </c>
      <c r="L18" s="31"/>
      <c r="M18" s="15" t="s">
        <v>239</v>
      </c>
    </row>
    <row r="19" spans="1:13" ht="22.8">
      <c r="A19" t="s">
        <v>6</v>
      </c>
      <c r="B19" s="15" t="s">
        <v>117</v>
      </c>
      <c r="C19" s="15" t="s">
        <v>138</v>
      </c>
      <c r="D19" s="15" t="s">
        <v>140</v>
      </c>
      <c r="E19" s="15" t="s">
        <v>236</v>
      </c>
      <c r="F19" s="15" t="s">
        <v>237</v>
      </c>
      <c r="G19" s="15">
        <v>1405</v>
      </c>
      <c r="H19" s="15" t="s">
        <v>247</v>
      </c>
      <c r="I19" s="15">
        <v>90</v>
      </c>
      <c r="J19" s="31">
        <v>87</v>
      </c>
      <c r="K19" s="15">
        <f t="shared" si="0"/>
        <v>96.666666666666671</v>
      </c>
      <c r="L19" s="31"/>
      <c r="M19" s="15" t="s">
        <v>239</v>
      </c>
    </row>
    <row r="20" spans="1:13" ht="22.8" hidden="1">
      <c r="A20" t="s">
        <v>6</v>
      </c>
      <c r="B20" s="15" t="s">
        <v>117</v>
      </c>
      <c r="C20" s="15" t="s">
        <v>138</v>
      </c>
      <c r="D20" s="15" t="s">
        <v>140</v>
      </c>
      <c r="E20" s="15" t="s">
        <v>236</v>
      </c>
      <c r="F20" s="15" t="s">
        <v>237</v>
      </c>
      <c r="G20" s="15">
        <v>1405</v>
      </c>
      <c r="H20" s="15" t="s">
        <v>248</v>
      </c>
      <c r="I20" s="15">
        <v>90</v>
      </c>
      <c r="J20" s="31"/>
      <c r="K20" s="15" t="str">
        <f t="shared" si="0"/>
        <v/>
      </c>
      <c r="L20" s="31"/>
      <c r="M20" s="15" t="s">
        <v>239</v>
      </c>
    </row>
    <row r="21" spans="1:13" ht="22.8" hidden="1">
      <c r="A21" t="s">
        <v>6</v>
      </c>
      <c r="B21" s="15" t="s">
        <v>117</v>
      </c>
      <c r="C21" s="15" t="s">
        <v>138</v>
      </c>
      <c r="D21" s="15" t="s">
        <v>140</v>
      </c>
      <c r="E21" s="15" t="s">
        <v>236</v>
      </c>
      <c r="F21" s="15" t="s">
        <v>237</v>
      </c>
      <c r="G21" s="15">
        <v>1405</v>
      </c>
      <c r="H21" s="15" t="s">
        <v>249</v>
      </c>
      <c r="I21" s="15">
        <v>90</v>
      </c>
      <c r="J21" s="31"/>
      <c r="K21" s="15" t="str">
        <f t="shared" si="0"/>
        <v/>
      </c>
      <c r="L21" s="31"/>
      <c r="M21" s="15" t="s">
        <v>239</v>
      </c>
    </row>
    <row r="22" spans="1:13" ht="22.8" hidden="1">
      <c r="A22" t="s">
        <v>6</v>
      </c>
      <c r="B22" s="15" t="s">
        <v>117</v>
      </c>
      <c r="C22" s="15" t="s">
        <v>138</v>
      </c>
      <c r="D22" s="15" t="s">
        <v>140</v>
      </c>
      <c r="E22" s="15" t="s">
        <v>236</v>
      </c>
      <c r="F22" s="15" t="s">
        <v>237</v>
      </c>
      <c r="G22" s="15">
        <v>1405</v>
      </c>
      <c r="H22" s="15" t="s">
        <v>228</v>
      </c>
      <c r="I22" s="15">
        <v>90</v>
      </c>
      <c r="J22" s="31"/>
      <c r="K22" s="15" t="str">
        <f t="shared" si="0"/>
        <v/>
      </c>
      <c r="L22" s="31"/>
      <c r="M22" s="15" t="s">
        <v>239</v>
      </c>
    </row>
    <row r="23" spans="1:13" ht="22.8" hidden="1">
      <c r="A23" t="s">
        <v>6</v>
      </c>
      <c r="B23" s="15" t="s">
        <v>117</v>
      </c>
      <c r="C23" s="15" t="s">
        <v>138</v>
      </c>
      <c r="D23" s="15" t="s">
        <v>140</v>
      </c>
      <c r="E23" s="15" t="s">
        <v>236</v>
      </c>
      <c r="F23" s="15" t="s">
        <v>237</v>
      </c>
      <c r="G23" s="15">
        <v>1405</v>
      </c>
      <c r="H23" s="15" t="s">
        <v>238</v>
      </c>
      <c r="I23" s="15">
        <v>90</v>
      </c>
      <c r="J23" s="31"/>
      <c r="K23" s="15" t="str">
        <f t="shared" si="0"/>
        <v/>
      </c>
      <c r="L23" s="31"/>
      <c r="M23" s="15" t="s">
        <v>239</v>
      </c>
    </row>
    <row r="24" spans="1:13" ht="22.8" hidden="1">
      <c r="A24" t="s">
        <v>6</v>
      </c>
      <c r="B24" s="15" t="s">
        <v>117</v>
      </c>
      <c r="C24" s="15" t="s">
        <v>138</v>
      </c>
      <c r="D24" s="15" t="s">
        <v>140</v>
      </c>
      <c r="E24" s="15" t="s">
        <v>236</v>
      </c>
      <c r="F24" s="15" t="s">
        <v>237</v>
      </c>
      <c r="G24" s="15">
        <v>1405</v>
      </c>
      <c r="H24" s="15" t="s">
        <v>240</v>
      </c>
      <c r="I24" s="15">
        <v>90</v>
      </c>
      <c r="J24" s="31"/>
      <c r="K24" s="15" t="str">
        <f t="shared" si="0"/>
        <v/>
      </c>
      <c r="L24" s="31"/>
      <c r="M24" s="15" t="s">
        <v>239</v>
      </c>
    </row>
    <row r="25" spans="1:13" ht="22.8" hidden="1">
      <c r="A25" t="s">
        <v>6</v>
      </c>
      <c r="B25" s="15" t="s">
        <v>117</v>
      </c>
      <c r="C25" s="15" t="s">
        <v>138</v>
      </c>
      <c r="D25" s="15" t="s">
        <v>140</v>
      </c>
      <c r="E25" s="15" t="s">
        <v>236</v>
      </c>
      <c r="F25" s="15" t="s">
        <v>237</v>
      </c>
      <c r="G25" s="15">
        <v>1405</v>
      </c>
      <c r="H25" s="15" t="s">
        <v>241</v>
      </c>
      <c r="I25" s="15">
        <v>90</v>
      </c>
      <c r="J25" s="31"/>
      <c r="K25" s="15" t="str">
        <f t="shared" si="0"/>
        <v/>
      </c>
      <c r="L25" s="31"/>
      <c r="M25" s="15" t="s">
        <v>239</v>
      </c>
    </row>
    <row r="26" spans="1:13" ht="22.8" hidden="1">
      <c r="A26" t="s">
        <v>6</v>
      </c>
      <c r="B26" s="15" t="s">
        <v>117</v>
      </c>
      <c r="C26" s="15" t="s">
        <v>138</v>
      </c>
      <c r="D26" s="15" t="s">
        <v>140</v>
      </c>
      <c r="E26" s="15" t="s">
        <v>236</v>
      </c>
      <c r="F26" s="15" t="s">
        <v>237</v>
      </c>
      <c r="G26" s="15">
        <v>1405</v>
      </c>
      <c r="H26" s="15" t="s">
        <v>242</v>
      </c>
      <c r="I26" s="15">
        <v>90</v>
      </c>
      <c r="J26" s="31"/>
      <c r="K26" s="15" t="str">
        <f t="shared" si="0"/>
        <v/>
      </c>
      <c r="L26" s="31"/>
      <c r="M26" s="15" t="s">
        <v>239</v>
      </c>
    </row>
    <row r="27" spans="1:13" ht="22.8" hidden="1">
      <c r="A27" t="s">
        <v>6</v>
      </c>
      <c r="B27" s="15" t="s">
        <v>117</v>
      </c>
      <c r="C27" s="15" t="s">
        <v>138</v>
      </c>
      <c r="D27" s="15" t="s">
        <v>140</v>
      </c>
      <c r="E27" s="15" t="s">
        <v>236</v>
      </c>
      <c r="F27" s="15" t="s">
        <v>237</v>
      </c>
      <c r="G27" s="15">
        <v>1405</v>
      </c>
      <c r="H27" s="15" t="s">
        <v>243</v>
      </c>
      <c r="I27" s="15">
        <v>90</v>
      </c>
      <c r="J27" s="31"/>
      <c r="K27" s="15" t="str">
        <f t="shared" si="0"/>
        <v/>
      </c>
      <c r="L27" s="31"/>
      <c r="M27" s="15" t="s">
        <v>239</v>
      </c>
    </row>
    <row r="28" spans="1:13" ht="22.8" hidden="1">
      <c r="A28" t="s">
        <v>6</v>
      </c>
      <c r="B28" s="15" t="s">
        <v>117</v>
      </c>
      <c r="C28" s="15" t="s">
        <v>138</v>
      </c>
      <c r="D28" s="15" t="s">
        <v>140</v>
      </c>
      <c r="E28" s="15" t="s">
        <v>236</v>
      </c>
      <c r="F28" s="15" t="s">
        <v>237</v>
      </c>
      <c r="G28" s="15">
        <v>1405</v>
      </c>
      <c r="H28" s="15" t="s">
        <v>234</v>
      </c>
      <c r="I28" s="15">
        <v>90</v>
      </c>
      <c r="J28" s="31"/>
      <c r="K28" s="15" t="str">
        <f t="shared" si="0"/>
        <v/>
      </c>
      <c r="L28" s="31"/>
      <c r="M28" s="15" t="s">
        <v>239</v>
      </c>
    </row>
  </sheetData>
  <autoFilter ref="B1:M28" xr:uid="{B43A2474-AEAF-48B5-BD55-6B210CCB8AA1}">
    <filterColumn colId="6">
      <filters>
        <filter val="خرداد"/>
      </filters>
    </filterColumn>
  </autoFilter>
  <conditionalFormatting sqref="A1">
    <cfRule type="duplicateValues" dxfId="27" priority="1"/>
    <cfRule type="duplicateValues" dxfId="26" priority="2"/>
  </conditionalFormatting>
  <conditionalFormatting sqref="B1:M1">
    <cfRule type="duplicateValues" dxfId="25" priority="26"/>
  </conditionalFormatting>
  <conditionalFormatting sqref="K2:K28">
    <cfRule type="colorScale" priority="3">
      <colorScale>
        <cfvo type="min"/>
        <cfvo type="percentile" val="50"/>
        <cfvo type="max"/>
        <color rgb="FFF8D7DA"/>
        <color rgb="FFFFF3CD"/>
        <color rgb="FFD1E7DD"/>
      </colorScale>
    </cfRule>
  </conditionalFormatting>
  <dataValidations count="1">
    <dataValidation type="list" allowBlank="1" showInputMessage="1" showErrorMessage="1" sqref="H2:H1048576" xr:uid="{F97D287F-0293-425A-8E83-134278923500}">
      <formula1>"فروردین ,اردیبهشت ,خرداد ,تیر ,مرداد ,شهریور ,مهر ,آبان ,آذر ,دی ,بهمن ,اسفند"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02BCE3B-9FAC-4B35-8EDB-D68D02632585}">
          <x14:formula1>
            <xm:f>'شاخص کلیدی عملکرد(KPI)'!$D:$D</xm:f>
          </x14:formula1>
          <xm:sqref>D29:D1048576</xm:sqref>
        </x14:dataValidation>
        <x14:dataValidation type="list" allowBlank="1" showInputMessage="1" showErrorMessage="1" xr:uid="{E22C0894-AFB3-41AA-B412-3BF5B9EAD207}">
          <x14:formula1>
            <xm:f>'شاخص کلیدی عملکرد(KPI)'!$B:$B</xm:f>
          </x14:formula1>
          <xm:sqref>C2:C1048576</xm:sqref>
        </x14:dataValidation>
        <x14:dataValidation type="list" allowBlank="1" showInputMessage="1" showErrorMessage="1" xr:uid="{E92CAD59-7754-4E0F-985F-005BDEEBE870}">
          <x14:formula1>
            <xm:f>'کسب و کار'!$B:$B</xm:f>
          </x14:formula1>
          <xm:sqref>B2:B1048576</xm:sqref>
        </x14:dataValidation>
        <x14:dataValidation type="list" allowBlank="1" showInputMessage="1" showErrorMessage="1" xr:uid="{2C0B1967-A7DE-429A-8021-D04AB6FCE937}">
          <x14:formula1>
            <xm:f>'واحد تجاری'!$A:$A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29CDE-C946-4A60-A78F-AFEF618F3347}">
  <dimension ref="A1:L64"/>
  <sheetViews>
    <sheetView rightToLeft="1" topLeftCell="B1" workbookViewId="0">
      <selection activeCell="A63" sqref="A63"/>
    </sheetView>
  </sheetViews>
  <sheetFormatPr defaultColWidth="9.109375" defaultRowHeight="14.4"/>
  <cols>
    <col min="1" max="1" width="18.109375" customWidth="1"/>
    <col min="2" max="2" width="30.33203125" style="1" customWidth="1"/>
    <col min="3" max="3" width="39.6640625" style="1" bestFit="1" customWidth="1"/>
    <col min="4" max="6" width="13" style="2" customWidth="1"/>
    <col min="7" max="7" width="13.6640625" style="10" customWidth="1"/>
    <col min="8" max="8" width="12.33203125" style="1" customWidth="1"/>
    <col min="9" max="10" width="9.109375" style="1"/>
    <col min="11" max="11" width="15.6640625" style="1" customWidth="1"/>
    <col min="12" max="12" width="52.5546875" style="1" customWidth="1"/>
    <col min="13" max="16384" width="9.109375" style="1"/>
  </cols>
  <sheetData>
    <row r="1" spans="1:12" ht="34.799999999999997">
      <c r="A1" s="23" t="s">
        <v>66</v>
      </c>
      <c r="B1" s="23" t="s">
        <v>7</v>
      </c>
      <c r="C1" s="23" t="s">
        <v>1</v>
      </c>
      <c r="D1" s="23" t="s">
        <v>34</v>
      </c>
      <c r="E1" s="23" t="s">
        <v>35</v>
      </c>
      <c r="F1" s="23" t="s">
        <v>68</v>
      </c>
      <c r="G1" s="23" t="s">
        <v>56</v>
      </c>
      <c r="H1" s="23" t="s">
        <v>59</v>
      </c>
      <c r="I1" s="23" t="s">
        <v>60</v>
      </c>
      <c r="J1" s="23" t="s">
        <v>61</v>
      </c>
      <c r="K1" s="23" t="s">
        <v>67</v>
      </c>
      <c r="L1" s="23" t="s">
        <v>53</v>
      </c>
    </row>
    <row r="2" spans="1:12" ht="22.8">
      <c r="A2" t="s">
        <v>6</v>
      </c>
      <c r="B2" s="15" t="s">
        <v>99</v>
      </c>
      <c r="C2" s="15" t="s">
        <v>154</v>
      </c>
      <c r="D2" s="4">
        <v>1405</v>
      </c>
      <c r="E2" s="15" t="s">
        <v>245</v>
      </c>
      <c r="F2" s="15" t="s">
        <v>141</v>
      </c>
      <c r="G2" s="15" t="s">
        <v>140</v>
      </c>
      <c r="H2" s="15">
        <v>0</v>
      </c>
      <c r="I2" s="31"/>
      <c r="J2" s="15" t="str">
        <f t="shared" ref="J2:J63" si="0">IF(OR(H2="",I2=""),"",IFERROR(I2/H2*100,""))</f>
        <v/>
      </c>
      <c r="K2" s="31"/>
      <c r="L2" s="15"/>
    </row>
    <row r="3" spans="1:12" ht="22.8">
      <c r="A3" t="s">
        <v>6</v>
      </c>
      <c r="B3" s="15" t="s">
        <v>99</v>
      </c>
      <c r="C3" s="15" t="s">
        <v>154</v>
      </c>
      <c r="D3" s="4">
        <v>1405</v>
      </c>
      <c r="E3" s="15" t="s">
        <v>246</v>
      </c>
      <c r="F3" s="15" t="s">
        <v>141</v>
      </c>
      <c r="G3" s="15" t="s">
        <v>140</v>
      </c>
      <c r="H3" s="15">
        <v>0</v>
      </c>
      <c r="I3" s="31"/>
      <c r="J3" s="15" t="str">
        <f t="shared" si="0"/>
        <v/>
      </c>
      <c r="K3" s="31"/>
      <c r="L3" s="15"/>
    </row>
    <row r="4" spans="1:12" ht="22.8">
      <c r="A4" t="s">
        <v>6</v>
      </c>
      <c r="B4" s="15" t="s">
        <v>99</v>
      </c>
      <c r="C4" s="15" t="s">
        <v>154</v>
      </c>
      <c r="D4" s="4">
        <v>1405</v>
      </c>
      <c r="E4" s="15" t="s">
        <v>250</v>
      </c>
      <c r="F4" s="15" t="s">
        <v>143</v>
      </c>
      <c r="G4" s="15" t="s">
        <v>145</v>
      </c>
      <c r="H4" s="15">
        <v>5</v>
      </c>
      <c r="I4" s="31"/>
      <c r="J4" s="15" t="str">
        <f t="shared" si="0"/>
        <v/>
      </c>
      <c r="K4" s="31"/>
      <c r="L4" s="15"/>
    </row>
    <row r="5" spans="1:12" ht="22.8">
      <c r="A5" t="s">
        <v>6</v>
      </c>
      <c r="B5" s="15" t="s">
        <v>99</v>
      </c>
      <c r="C5" s="15" t="s">
        <v>154</v>
      </c>
      <c r="D5" s="4">
        <v>1405</v>
      </c>
      <c r="E5" s="15" t="s">
        <v>238</v>
      </c>
      <c r="F5" s="15" t="s">
        <v>143</v>
      </c>
      <c r="G5" s="15" t="s">
        <v>145</v>
      </c>
      <c r="H5" s="15">
        <v>10</v>
      </c>
      <c r="I5" s="31"/>
      <c r="J5" s="15" t="str">
        <f t="shared" si="0"/>
        <v/>
      </c>
      <c r="K5" s="31"/>
      <c r="L5" s="15"/>
    </row>
    <row r="6" spans="1:12" ht="22.8">
      <c r="A6" t="s">
        <v>6</v>
      </c>
      <c r="B6" s="15" t="s">
        <v>99</v>
      </c>
      <c r="C6" s="15" t="s">
        <v>154</v>
      </c>
      <c r="D6" s="4">
        <v>1405</v>
      </c>
      <c r="E6" s="15" t="s">
        <v>240</v>
      </c>
      <c r="F6" s="15" t="s">
        <v>143</v>
      </c>
      <c r="G6" s="15" t="s">
        <v>145</v>
      </c>
      <c r="H6" s="15">
        <v>15</v>
      </c>
      <c r="I6" s="31"/>
      <c r="J6" s="15" t="str">
        <f t="shared" si="0"/>
        <v/>
      </c>
      <c r="K6" s="31"/>
      <c r="L6" s="15"/>
    </row>
    <row r="7" spans="1:12" ht="22.8">
      <c r="A7" t="s">
        <v>6</v>
      </c>
      <c r="B7" s="15" t="s">
        <v>99</v>
      </c>
      <c r="C7" s="15" t="s">
        <v>154</v>
      </c>
      <c r="D7" s="4">
        <v>1405</v>
      </c>
      <c r="E7" s="15" t="s">
        <v>241</v>
      </c>
      <c r="F7" s="15" t="s">
        <v>143</v>
      </c>
      <c r="G7" s="15" t="s">
        <v>145</v>
      </c>
      <c r="H7" s="15">
        <v>20</v>
      </c>
      <c r="I7" s="31"/>
      <c r="J7" s="15" t="str">
        <f t="shared" si="0"/>
        <v/>
      </c>
      <c r="K7" s="31"/>
      <c r="L7" s="15"/>
    </row>
    <row r="8" spans="1:12" ht="22.8">
      <c r="A8" t="s">
        <v>6</v>
      </c>
      <c r="B8" s="15" t="s">
        <v>99</v>
      </c>
      <c r="C8" s="15" t="s">
        <v>154</v>
      </c>
      <c r="D8" s="4">
        <v>1405</v>
      </c>
      <c r="E8" s="15" t="s">
        <v>242</v>
      </c>
      <c r="F8" s="15" t="s">
        <v>143</v>
      </c>
      <c r="G8" s="15" t="s">
        <v>145</v>
      </c>
      <c r="H8" s="15">
        <v>25</v>
      </c>
      <c r="I8" s="31"/>
      <c r="J8" s="15" t="str">
        <f t="shared" si="0"/>
        <v/>
      </c>
      <c r="K8" s="31"/>
      <c r="L8" s="15"/>
    </row>
    <row r="9" spans="1:12" ht="22.8">
      <c r="A9" t="s">
        <v>6</v>
      </c>
      <c r="B9" s="15" t="s">
        <v>99</v>
      </c>
      <c r="C9" s="15" t="s">
        <v>154</v>
      </c>
      <c r="D9" s="4">
        <v>1405</v>
      </c>
      <c r="E9" s="15" t="s">
        <v>243</v>
      </c>
      <c r="F9" s="15" t="s">
        <v>143</v>
      </c>
      <c r="G9" s="15" t="s">
        <v>145</v>
      </c>
      <c r="H9" s="15">
        <v>30</v>
      </c>
      <c r="I9" s="31"/>
      <c r="J9" s="15" t="str">
        <f t="shared" si="0"/>
        <v/>
      </c>
      <c r="K9" s="31"/>
      <c r="L9" s="15"/>
    </row>
    <row r="10" spans="1:12" ht="22.8">
      <c r="A10" t="s">
        <v>6</v>
      </c>
      <c r="B10" s="15" t="s">
        <v>99</v>
      </c>
      <c r="C10" s="15" t="s">
        <v>154</v>
      </c>
      <c r="D10" s="4">
        <v>1405</v>
      </c>
      <c r="E10" s="15" t="s">
        <v>234</v>
      </c>
      <c r="F10" s="15" t="s">
        <v>143</v>
      </c>
      <c r="G10" s="15" t="s">
        <v>145</v>
      </c>
      <c r="H10" s="15">
        <v>30</v>
      </c>
      <c r="I10" s="31"/>
      <c r="J10" s="15" t="str">
        <f t="shared" si="0"/>
        <v/>
      </c>
      <c r="K10" s="31"/>
      <c r="L10" s="15"/>
    </row>
    <row r="11" spans="1:12" ht="22.8">
      <c r="A11" t="s">
        <v>6</v>
      </c>
      <c r="B11" s="15" t="s">
        <v>99</v>
      </c>
      <c r="C11" s="15" t="s">
        <v>156</v>
      </c>
      <c r="D11" s="4">
        <v>1405</v>
      </c>
      <c r="E11" s="15" t="s">
        <v>247</v>
      </c>
      <c r="F11" s="15" t="s">
        <v>141</v>
      </c>
      <c r="G11" s="15" t="s">
        <v>140</v>
      </c>
      <c r="H11" s="15">
        <v>15</v>
      </c>
      <c r="I11" s="31">
        <v>11</v>
      </c>
      <c r="J11" s="15">
        <f t="shared" si="0"/>
        <v>73.333333333333329</v>
      </c>
      <c r="K11" s="31"/>
      <c r="L11" s="15"/>
    </row>
    <row r="12" spans="1:12" ht="22.8">
      <c r="A12" t="s">
        <v>6</v>
      </c>
      <c r="B12" s="15" t="s">
        <v>99</v>
      </c>
      <c r="C12" s="15" t="s">
        <v>156</v>
      </c>
      <c r="D12" s="4">
        <v>1405</v>
      </c>
      <c r="E12" s="15" t="s">
        <v>248</v>
      </c>
      <c r="F12" s="15" t="s">
        <v>141</v>
      </c>
      <c r="G12" s="15" t="s">
        <v>140</v>
      </c>
      <c r="H12" s="15">
        <v>35</v>
      </c>
      <c r="I12" s="31"/>
      <c r="J12" s="15" t="str">
        <f t="shared" si="0"/>
        <v/>
      </c>
      <c r="K12" s="31"/>
      <c r="L12" s="15"/>
    </row>
    <row r="13" spans="1:12" ht="22.8">
      <c r="A13" t="s">
        <v>6</v>
      </c>
      <c r="B13" s="15" t="s">
        <v>99</v>
      </c>
      <c r="C13" s="15" t="s">
        <v>156</v>
      </c>
      <c r="D13" s="4">
        <v>1405</v>
      </c>
      <c r="E13" s="15" t="s">
        <v>249</v>
      </c>
      <c r="F13" s="15" t="s">
        <v>141</v>
      </c>
      <c r="G13" s="15" t="s">
        <v>140</v>
      </c>
      <c r="H13" s="15">
        <v>70</v>
      </c>
      <c r="I13" s="31"/>
      <c r="J13" s="15" t="str">
        <f t="shared" si="0"/>
        <v/>
      </c>
      <c r="K13" s="31"/>
      <c r="L13" s="15"/>
    </row>
    <row r="14" spans="1:12" ht="22.8">
      <c r="A14" t="s">
        <v>6</v>
      </c>
      <c r="B14" s="15" t="s">
        <v>99</v>
      </c>
      <c r="C14" s="15" t="s">
        <v>156</v>
      </c>
      <c r="D14" s="4">
        <v>1405</v>
      </c>
      <c r="E14" s="15" t="s">
        <v>250</v>
      </c>
      <c r="F14" s="15" t="s">
        <v>141</v>
      </c>
      <c r="G14" s="15" t="s">
        <v>140</v>
      </c>
      <c r="H14" s="15">
        <v>80</v>
      </c>
      <c r="I14" s="31"/>
      <c r="J14" s="15" t="str">
        <f t="shared" si="0"/>
        <v/>
      </c>
      <c r="K14" s="31"/>
      <c r="L14" s="15"/>
    </row>
    <row r="15" spans="1:12" ht="22.8">
      <c r="A15" t="s">
        <v>6</v>
      </c>
      <c r="B15" s="15" t="s">
        <v>99</v>
      </c>
      <c r="C15" s="15" t="s">
        <v>156</v>
      </c>
      <c r="D15" s="4">
        <v>1405</v>
      </c>
      <c r="E15" s="15" t="s">
        <v>229</v>
      </c>
      <c r="F15" s="15" t="s">
        <v>141</v>
      </c>
      <c r="G15" s="15" t="s">
        <v>140</v>
      </c>
      <c r="H15" s="15">
        <v>90</v>
      </c>
      <c r="I15" s="31"/>
      <c r="J15" s="15" t="str">
        <f t="shared" si="0"/>
        <v/>
      </c>
      <c r="K15" s="31"/>
      <c r="L15" s="15"/>
    </row>
    <row r="16" spans="1:12" ht="22.8">
      <c r="A16" t="s">
        <v>6</v>
      </c>
      <c r="B16" s="15" t="s">
        <v>99</v>
      </c>
      <c r="C16" s="15" t="s">
        <v>156</v>
      </c>
      <c r="D16" s="4">
        <v>1405</v>
      </c>
      <c r="E16" s="15" t="s">
        <v>240</v>
      </c>
      <c r="F16" s="15" t="s">
        <v>141</v>
      </c>
      <c r="G16" s="15" t="s">
        <v>140</v>
      </c>
      <c r="H16" s="15">
        <v>95</v>
      </c>
      <c r="I16" s="31"/>
      <c r="J16" s="15" t="str">
        <f t="shared" si="0"/>
        <v/>
      </c>
      <c r="K16" s="31"/>
      <c r="L16" s="15"/>
    </row>
    <row r="17" spans="1:12" ht="22.8">
      <c r="A17" t="s">
        <v>6</v>
      </c>
      <c r="B17" s="15" t="s">
        <v>99</v>
      </c>
      <c r="C17" s="15" t="s">
        <v>156</v>
      </c>
      <c r="D17" s="4">
        <v>1405</v>
      </c>
      <c r="E17" s="15" t="s">
        <v>241</v>
      </c>
      <c r="F17" s="15" t="s">
        <v>141</v>
      </c>
      <c r="G17" s="15" t="s">
        <v>140</v>
      </c>
      <c r="H17" s="15">
        <v>100</v>
      </c>
      <c r="I17" s="31"/>
      <c r="J17" s="15" t="str">
        <f t="shared" si="0"/>
        <v/>
      </c>
      <c r="K17" s="31"/>
      <c r="L17" s="15"/>
    </row>
    <row r="18" spans="1:12" ht="22.8">
      <c r="A18" t="s">
        <v>6</v>
      </c>
      <c r="B18" s="15" t="s">
        <v>99</v>
      </c>
      <c r="C18" s="15" t="s">
        <v>158</v>
      </c>
      <c r="D18" s="4">
        <v>1405</v>
      </c>
      <c r="E18" s="15" t="s">
        <v>249</v>
      </c>
      <c r="F18" s="15" t="s">
        <v>141</v>
      </c>
      <c r="G18" s="15" t="s">
        <v>140</v>
      </c>
      <c r="H18" s="15">
        <v>10</v>
      </c>
      <c r="I18" s="31"/>
      <c r="J18" s="15" t="str">
        <f t="shared" si="0"/>
        <v/>
      </c>
      <c r="K18" s="31"/>
      <c r="L18" s="15"/>
    </row>
    <row r="19" spans="1:12" ht="22.8">
      <c r="A19" t="s">
        <v>6</v>
      </c>
      <c r="B19" s="15" t="s">
        <v>99</v>
      </c>
      <c r="C19" s="15" t="s">
        <v>158</v>
      </c>
      <c r="D19" s="4">
        <v>1405</v>
      </c>
      <c r="E19" s="15" t="s">
        <v>250</v>
      </c>
      <c r="F19" s="15" t="s">
        <v>141</v>
      </c>
      <c r="G19" s="15" t="s">
        <v>140</v>
      </c>
      <c r="H19" s="15">
        <v>100</v>
      </c>
      <c r="I19" s="31"/>
      <c r="J19" s="15" t="str">
        <f t="shared" si="0"/>
        <v/>
      </c>
      <c r="K19" s="31"/>
      <c r="L19" s="15"/>
    </row>
    <row r="20" spans="1:12" ht="22.8">
      <c r="A20" t="s">
        <v>6</v>
      </c>
      <c r="B20" s="15" t="s">
        <v>99</v>
      </c>
      <c r="C20" s="15" t="s">
        <v>160</v>
      </c>
      <c r="D20" s="4">
        <v>1405</v>
      </c>
      <c r="E20" s="15" t="s">
        <v>249</v>
      </c>
      <c r="F20" s="15" t="s">
        <v>141</v>
      </c>
      <c r="G20" s="15" t="s">
        <v>140</v>
      </c>
      <c r="H20" s="15">
        <v>20</v>
      </c>
      <c r="I20" s="31"/>
      <c r="J20" s="15" t="str">
        <f t="shared" si="0"/>
        <v/>
      </c>
      <c r="K20" s="31"/>
      <c r="L20" s="15"/>
    </row>
    <row r="21" spans="1:12" ht="22.8">
      <c r="A21" t="s">
        <v>6</v>
      </c>
      <c r="B21" s="15" t="s">
        <v>99</v>
      </c>
      <c r="C21" s="15" t="s">
        <v>160</v>
      </c>
      <c r="D21" s="4">
        <v>1405</v>
      </c>
      <c r="E21" s="15" t="s">
        <v>250</v>
      </c>
      <c r="F21" s="15" t="s">
        <v>141</v>
      </c>
      <c r="G21" s="15" t="s">
        <v>140</v>
      </c>
      <c r="H21" s="15">
        <v>60</v>
      </c>
      <c r="I21" s="31"/>
      <c r="J21" s="15" t="str">
        <f t="shared" si="0"/>
        <v/>
      </c>
      <c r="K21" s="31"/>
      <c r="L21" s="15"/>
    </row>
    <row r="22" spans="1:12" ht="22.8">
      <c r="A22" t="s">
        <v>6</v>
      </c>
      <c r="B22" s="15" t="s">
        <v>99</v>
      </c>
      <c r="C22" s="15" t="s">
        <v>160</v>
      </c>
      <c r="D22" s="4">
        <v>1405</v>
      </c>
      <c r="E22" s="15" t="s">
        <v>238</v>
      </c>
      <c r="F22" s="15" t="s">
        <v>141</v>
      </c>
      <c r="G22" s="15" t="s">
        <v>140</v>
      </c>
      <c r="H22" s="15">
        <v>70</v>
      </c>
      <c r="I22" s="31"/>
      <c r="J22" s="15" t="str">
        <f t="shared" si="0"/>
        <v/>
      </c>
      <c r="K22" s="31"/>
      <c r="L22" s="15"/>
    </row>
    <row r="23" spans="1:12" ht="22.8">
      <c r="A23" t="s">
        <v>6</v>
      </c>
      <c r="B23" s="15" t="s">
        <v>99</v>
      </c>
      <c r="C23" s="15" t="s">
        <v>160</v>
      </c>
      <c r="D23" s="4">
        <v>1405</v>
      </c>
      <c r="E23" s="15" t="s">
        <v>240</v>
      </c>
      <c r="F23" s="15" t="s">
        <v>141</v>
      </c>
      <c r="G23" s="15" t="s">
        <v>140</v>
      </c>
      <c r="H23" s="15">
        <v>80</v>
      </c>
      <c r="I23" s="31"/>
      <c r="J23" s="15" t="str">
        <f t="shared" si="0"/>
        <v/>
      </c>
      <c r="K23" s="31"/>
      <c r="L23" s="15"/>
    </row>
    <row r="24" spans="1:12" ht="22.8">
      <c r="A24" t="s">
        <v>6</v>
      </c>
      <c r="B24" s="15" t="s">
        <v>99</v>
      </c>
      <c r="C24" s="15" t="s">
        <v>160</v>
      </c>
      <c r="D24" s="4">
        <v>1405</v>
      </c>
      <c r="E24" s="15" t="s">
        <v>241</v>
      </c>
      <c r="F24" s="15" t="s">
        <v>141</v>
      </c>
      <c r="G24" s="15" t="s">
        <v>140</v>
      </c>
      <c r="H24" s="15">
        <v>85</v>
      </c>
      <c r="I24" s="31"/>
      <c r="J24" s="15" t="str">
        <f t="shared" si="0"/>
        <v/>
      </c>
      <c r="K24" s="31"/>
      <c r="L24" s="15"/>
    </row>
    <row r="25" spans="1:12" ht="22.8">
      <c r="A25" t="s">
        <v>6</v>
      </c>
      <c r="B25" s="15" t="s">
        <v>99</v>
      </c>
      <c r="C25" s="15" t="s">
        <v>160</v>
      </c>
      <c r="D25" s="4">
        <v>1405</v>
      </c>
      <c r="E25" s="15" t="s">
        <v>242</v>
      </c>
      <c r="F25" s="15" t="s">
        <v>141</v>
      </c>
      <c r="G25" s="15" t="s">
        <v>140</v>
      </c>
      <c r="H25" s="15">
        <v>90</v>
      </c>
      <c r="I25" s="31"/>
      <c r="J25" s="15" t="str">
        <f t="shared" si="0"/>
        <v/>
      </c>
      <c r="K25" s="31"/>
      <c r="L25" s="15"/>
    </row>
    <row r="26" spans="1:12" ht="22.8">
      <c r="A26" t="s">
        <v>6</v>
      </c>
      <c r="B26" s="15" t="s">
        <v>99</v>
      </c>
      <c r="C26" s="15" t="s">
        <v>160</v>
      </c>
      <c r="D26" s="4">
        <v>1405</v>
      </c>
      <c r="E26" s="15" t="s">
        <v>243</v>
      </c>
      <c r="F26" s="15" t="s">
        <v>141</v>
      </c>
      <c r="G26" s="15" t="s">
        <v>140</v>
      </c>
      <c r="H26" s="15">
        <v>95</v>
      </c>
      <c r="I26" s="31"/>
      <c r="J26" s="15" t="str">
        <f t="shared" si="0"/>
        <v/>
      </c>
      <c r="K26" s="31"/>
      <c r="L26" s="15"/>
    </row>
    <row r="27" spans="1:12" ht="22.8">
      <c r="A27" t="s">
        <v>6</v>
      </c>
      <c r="B27" s="15" t="s">
        <v>99</v>
      </c>
      <c r="C27" s="15" t="s">
        <v>160</v>
      </c>
      <c r="D27" s="4">
        <v>1405</v>
      </c>
      <c r="E27" s="15" t="s">
        <v>234</v>
      </c>
      <c r="F27" s="15" t="s">
        <v>141</v>
      </c>
      <c r="G27" s="15" t="s">
        <v>140</v>
      </c>
      <c r="H27" s="15">
        <v>100</v>
      </c>
      <c r="I27" s="31"/>
      <c r="J27" s="15" t="str">
        <f t="shared" si="0"/>
        <v/>
      </c>
      <c r="K27" s="31"/>
      <c r="L27" s="15"/>
    </row>
    <row r="28" spans="1:12" ht="22.8">
      <c r="A28" t="s">
        <v>6</v>
      </c>
      <c r="B28" s="15" t="s">
        <v>99</v>
      </c>
      <c r="C28" s="15" t="s">
        <v>162</v>
      </c>
      <c r="D28" s="4">
        <v>1405</v>
      </c>
      <c r="E28" s="15" t="s">
        <v>248</v>
      </c>
      <c r="F28" s="15" t="s">
        <v>141</v>
      </c>
      <c r="G28" s="15" t="s">
        <v>140</v>
      </c>
      <c r="H28" s="15">
        <v>15</v>
      </c>
      <c r="I28" s="31"/>
      <c r="J28" s="15" t="str">
        <f t="shared" si="0"/>
        <v/>
      </c>
      <c r="K28" s="31"/>
      <c r="L28" s="15"/>
    </row>
    <row r="29" spans="1:12" ht="22.8">
      <c r="A29" t="s">
        <v>6</v>
      </c>
      <c r="B29" s="15" t="s">
        <v>99</v>
      </c>
      <c r="C29" s="15" t="s">
        <v>162</v>
      </c>
      <c r="D29" s="4">
        <v>1405</v>
      </c>
      <c r="E29" s="15" t="s">
        <v>249</v>
      </c>
      <c r="F29" s="15" t="s">
        <v>141</v>
      </c>
      <c r="G29" s="15" t="s">
        <v>140</v>
      </c>
      <c r="H29" s="15">
        <v>50</v>
      </c>
      <c r="I29" s="31"/>
      <c r="J29" s="15" t="str">
        <f t="shared" si="0"/>
        <v/>
      </c>
      <c r="K29" s="31"/>
      <c r="L29" s="15"/>
    </row>
    <row r="30" spans="1:12" ht="22.8">
      <c r="A30" t="s">
        <v>6</v>
      </c>
      <c r="B30" s="15" t="s">
        <v>99</v>
      </c>
      <c r="C30" s="15" t="s">
        <v>162</v>
      </c>
      <c r="D30" s="4">
        <v>1405</v>
      </c>
      <c r="E30" s="15" t="s">
        <v>250</v>
      </c>
      <c r="F30" s="15" t="s">
        <v>141</v>
      </c>
      <c r="G30" s="15" t="s">
        <v>140</v>
      </c>
      <c r="H30" s="15">
        <v>70</v>
      </c>
      <c r="I30" s="31"/>
      <c r="J30" s="15" t="str">
        <f t="shared" si="0"/>
        <v/>
      </c>
      <c r="K30" s="31"/>
      <c r="L30" s="15"/>
    </row>
    <row r="31" spans="1:12" ht="22.8">
      <c r="A31" t="s">
        <v>6</v>
      </c>
      <c r="B31" s="15" t="s">
        <v>99</v>
      </c>
      <c r="C31" s="15" t="s">
        <v>162</v>
      </c>
      <c r="D31" s="4">
        <v>1405</v>
      </c>
      <c r="E31" s="15" t="s">
        <v>238</v>
      </c>
      <c r="F31" s="15" t="s">
        <v>141</v>
      </c>
      <c r="G31" s="15" t="s">
        <v>140</v>
      </c>
      <c r="H31" s="15">
        <v>75</v>
      </c>
      <c r="I31" s="31"/>
      <c r="J31" s="15" t="str">
        <f t="shared" si="0"/>
        <v/>
      </c>
      <c r="K31" s="31"/>
      <c r="L31" s="15"/>
    </row>
    <row r="32" spans="1:12" ht="22.8">
      <c r="A32" t="s">
        <v>6</v>
      </c>
      <c r="B32" s="15" t="s">
        <v>99</v>
      </c>
      <c r="C32" s="15" t="s">
        <v>162</v>
      </c>
      <c r="D32" s="4">
        <v>1405</v>
      </c>
      <c r="E32" s="15" t="s">
        <v>240</v>
      </c>
      <c r="F32" s="15" t="s">
        <v>141</v>
      </c>
      <c r="G32" s="15" t="s">
        <v>140</v>
      </c>
      <c r="H32" s="15">
        <v>80</v>
      </c>
      <c r="I32" s="31"/>
      <c r="J32" s="15" t="str">
        <f t="shared" si="0"/>
        <v/>
      </c>
      <c r="K32" s="31"/>
      <c r="L32" s="15"/>
    </row>
    <row r="33" spans="1:12" ht="22.8">
      <c r="A33" t="s">
        <v>6</v>
      </c>
      <c r="B33" s="15" t="s">
        <v>99</v>
      </c>
      <c r="C33" s="15" t="s">
        <v>162</v>
      </c>
      <c r="D33" s="4">
        <v>1405</v>
      </c>
      <c r="E33" s="15" t="s">
        <v>241</v>
      </c>
      <c r="F33" s="15" t="s">
        <v>141</v>
      </c>
      <c r="G33" s="15" t="s">
        <v>140</v>
      </c>
      <c r="H33" s="15">
        <v>85</v>
      </c>
      <c r="I33" s="31"/>
      <c r="J33" s="15" t="str">
        <f t="shared" si="0"/>
        <v/>
      </c>
      <c r="K33" s="31"/>
      <c r="L33" s="15"/>
    </row>
    <row r="34" spans="1:12" ht="22.8">
      <c r="A34" t="s">
        <v>6</v>
      </c>
      <c r="B34" s="15" t="s">
        <v>99</v>
      </c>
      <c r="C34" s="15" t="s">
        <v>162</v>
      </c>
      <c r="D34" s="4">
        <v>1405</v>
      </c>
      <c r="E34" s="15" t="s">
        <v>242</v>
      </c>
      <c r="F34" s="15" t="s">
        <v>141</v>
      </c>
      <c r="G34" s="15" t="s">
        <v>140</v>
      </c>
      <c r="H34" s="15">
        <v>90</v>
      </c>
      <c r="I34" s="31"/>
      <c r="J34" s="15" t="str">
        <f t="shared" si="0"/>
        <v/>
      </c>
      <c r="K34" s="31"/>
      <c r="L34" s="15"/>
    </row>
    <row r="35" spans="1:12" ht="22.8">
      <c r="A35" t="s">
        <v>6</v>
      </c>
      <c r="B35" s="15" t="s">
        <v>99</v>
      </c>
      <c r="C35" s="15" t="s">
        <v>162</v>
      </c>
      <c r="D35" s="4">
        <v>1405</v>
      </c>
      <c r="E35" s="15" t="s">
        <v>243</v>
      </c>
      <c r="F35" s="15" t="s">
        <v>141</v>
      </c>
      <c r="G35" s="15" t="s">
        <v>140</v>
      </c>
      <c r="H35" s="15">
        <v>95</v>
      </c>
      <c r="I35" s="31"/>
      <c r="J35" s="15" t="str">
        <f t="shared" si="0"/>
        <v/>
      </c>
      <c r="K35" s="31"/>
      <c r="L35" s="15"/>
    </row>
    <row r="36" spans="1:12" ht="22.8">
      <c r="A36" t="s">
        <v>6</v>
      </c>
      <c r="B36" s="15" t="s">
        <v>99</v>
      </c>
      <c r="C36" s="15" t="s">
        <v>162</v>
      </c>
      <c r="D36" s="4">
        <v>1405</v>
      </c>
      <c r="E36" s="15" t="s">
        <v>234</v>
      </c>
      <c r="F36" s="15" t="s">
        <v>141</v>
      </c>
      <c r="G36" s="15" t="s">
        <v>140</v>
      </c>
      <c r="H36" s="15">
        <v>100</v>
      </c>
      <c r="I36" s="31"/>
      <c r="J36" s="15" t="str">
        <f t="shared" si="0"/>
        <v/>
      </c>
      <c r="K36" s="31"/>
      <c r="L36" s="15"/>
    </row>
    <row r="37" spans="1:12">
      <c r="A37" t="s">
        <v>6</v>
      </c>
      <c r="B37" s="15" t="s">
        <v>111</v>
      </c>
      <c r="C37" s="15" t="s">
        <v>164</v>
      </c>
      <c r="D37" s="4">
        <v>1405</v>
      </c>
      <c r="E37" s="15" t="s">
        <v>248</v>
      </c>
      <c r="F37" s="15" t="s">
        <v>141</v>
      </c>
      <c r="G37" s="15" t="s">
        <v>140</v>
      </c>
      <c r="H37" s="15">
        <v>20</v>
      </c>
      <c r="I37" s="31"/>
      <c r="J37" s="15" t="str">
        <f t="shared" si="0"/>
        <v/>
      </c>
      <c r="K37" s="31"/>
      <c r="L37" s="15"/>
    </row>
    <row r="38" spans="1:12">
      <c r="A38" t="s">
        <v>6</v>
      </c>
      <c r="B38" s="15" t="s">
        <v>111</v>
      </c>
      <c r="C38" s="15" t="s">
        <v>164</v>
      </c>
      <c r="D38" s="4">
        <v>1405</v>
      </c>
      <c r="E38" s="15" t="s">
        <v>249</v>
      </c>
      <c r="F38" s="15" t="s">
        <v>141</v>
      </c>
      <c r="G38" s="15" t="s">
        <v>140</v>
      </c>
      <c r="H38" s="15">
        <v>50</v>
      </c>
      <c r="I38" s="31"/>
      <c r="J38" s="15" t="str">
        <f t="shared" si="0"/>
        <v/>
      </c>
      <c r="K38" s="31"/>
      <c r="L38" s="15"/>
    </row>
    <row r="39" spans="1:12">
      <c r="A39" t="s">
        <v>6</v>
      </c>
      <c r="B39" s="15" t="s">
        <v>111</v>
      </c>
      <c r="C39" s="15" t="s">
        <v>164</v>
      </c>
      <c r="D39" s="4">
        <v>1405</v>
      </c>
      <c r="E39" s="15" t="s">
        <v>250</v>
      </c>
      <c r="F39" s="15" t="s">
        <v>141</v>
      </c>
      <c r="G39" s="15" t="s">
        <v>140</v>
      </c>
      <c r="H39" s="15">
        <v>70</v>
      </c>
      <c r="I39" s="31"/>
      <c r="J39" s="15" t="str">
        <f t="shared" si="0"/>
        <v/>
      </c>
      <c r="K39" s="31"/>
      <c r="L39" s="15"/>
    </row>
    <row r="40" spans="1:12">
      <c r="A40" t="s">
        <v>6</v>
      </c>
      <c r="B40" s="15" t="s">
        <v>111</v>
      </c>
      <c r="C40" s="15" t="s">
        <v>164</v>
      </c>
      <c r="D40" s="4">
        <v>1405</v>
      </c>
      <c r="E40" s="15" t="s">
        <v>238</v>
      </c>
      <c r="F40" s="15" t="s">
        <v>141</v>
      </c>
      <c r="G40" s="15" t="s">
        <v>140</v>
      </c>
      <c r="H40" s="15">
        <v>75</v>
      </c>
      <c r="I40" s="31"/>
      <c r="J40" s="15" t="str">
        <f t="shared" si="0"/>
        <v/>
      </c>
      <c r="K40" s="31"/>
      <c r="L40" s="15"/>
    </row>
    <row r="41" spans="1:12">
      <c r="A41" t="s">
        <v>6</v>
      </c>
      <c r="B41" s="15" t="s">
        <v>111</v>
      </c>
      <c r="C41" s="15" t="s">
        <v>164</v>
      </c>
      <c r="D41" s="4">
        <v>1405</v>
      </c>
      <c r="E41" s="15" t="s">
        <v>240</v>
      </c>
      <c r="F41" s="15" t="s">
        <v>141</v>
      </c>
      <c r="G41" s="15" t="s">
        <v>140</v>
      </c>
      <c r="H41" s="15">
        <v>80</v>
      </c>
      <c r="I41" s="31"/>
      <c r="J41" s="15" t="str">
        <f t="shared" si="0"/>
        <v/>
      </c>
      <c r="K41" s="31"/>
      <c r="L41" s="15"/>
    </row>
    <row r="42" spans="1:12">
      <c r="A42" t="s">
        <v>6</v>
      </c>
      <c r="B42" s="15" t="s">
        <v>111</v>
      </c>
      <c r="C42" s="15" t="s">
        <v>164</v>
      </c>
      <c r="D42" s="4">
        <v>1405</v>
      </c>
      <c r="E42" s="15" t="s">
        <v>241</v>
      </c>
      <c r="F42" s="15" t="s">
        <v>141</v>
      </c>
      <c r="G42" s="15" t="s">
        <v>140</v>
      </c>
      <c r="H42" s="15">
        <v>85</v>
      </c>
      <c r="I42" s="31"/>
      <c r="J42" s="15" t="str">
        <f t="shared" si="0"/>
        <v/>
      </c>
      <c r="K42" s="31"/>
      <c r="L42" s="15"/>
    </row>
    <row r="43" spans="1:12">
      <c r="A43" t="s">
        <v>6</v>
      </c>
      <c r="B43" s="15" t="s">
        <v>111</v>
      </c>
      <c r="C43" s="15" t="s">
        <v>164</v>
      </c>
      <c r="D43" s="4">
        <v>1405</v>
      </c>
      <c r="E43" s="15" t="s">
        <v>242</v>
      </c>
      <c r="F43" s="15" t="s">
        <v>141</v>
      </c>
      <c r="G43" s="15" t="s">
        <v>140</v>
      </c>
      <c r="H43" s="15">
        <v>90</v>
      </c>
      <c r="I43" s="31"/>
      <c r="J43" s="15" t="str">
        <f t="shared" si="0"/>
        <v/>
      </c>
      <c r="K43" s="31"/>
      <c r="L43" s="15"/>
    </row>
    <row r="44" spans="1:12">
      <c r="A44" t="s">
        <v>6</v>
      </c>
      <c r="B44" s="15" t="s">
        <v>111</v>
      </c>
      <c r="C44" s="15" t="s">
        <v>164</v>
      </c>
      <c r="D44" s="4">
        <v>1405</v>
      </c>
      <c r="E44" s="15" t="s">
        <v>243</v>
      </c>
      <c r="F44" s="15" t="s">
        <v>141</v>
      </c>
      <c r="G44" s="15" t="s">
        <v>140</v>
      </c>
      <c r="H44" s="15">
        <v>95</v>
      </c>
      <c r="I44" s="31"/>
      <c r="J44" s="15" t="str">
        <f t="shared" si="0"/>
        <v/>
      </c>
      <c r="K44" s="31"/>
      <c r="L44" s="15"/>
    </row>
    <row r="45" spans="1:12">
      <c r="A45" t="s">
        <v>6</v>
      </c>
      <c r="B45" s="15" t="s">
        <v>111</v>
      </c>
      <c r="C45" s="15" t="s">
        <v>164</v>
      </c>
      <c r="D45" s="4">
        <v>1405</v>
      </c>
      <c r="E45" s="15" t="s">
        <v>234</v>
      </c>
      <c r="F45" s="15" t="s">
        <v>141</v>
      </c>
      <c r="G45" s="15" t="s">
        <v>140</v>
      </c>
      <c r="H45" s="15">
        <v>100</v>
      </c>
      <c r="I45" s="31"/>
      <c r="J45" s="15" t="str">
        <f t="shared" si="0"/>
        <v/>
      </c>
      <c r="K45" s="31"/>
      <c r="L45" s="15"/>
    </row>
    <row r="46" spans="1:12">
      <c r="A46" t="s">
        <v>6</v>
      </c>
      <c r="B46" s="15" t="s">
        <v>111</v>
      </c>
      <c r="C46" s="15" t="s">
        <v>166</v>
      </c>
      <c r="D46" s="4">
        <v>1405</v>
      </c>
      <c r="E46" s="15" t="s">
        <v>248</v>
      </c>
      <c r="F46" s="15" t="s">
        <v>141</v>
      </c>
      <c r="G46" s="15" t="s">
        <v>140</v>
      </c>
      <c r="H46" s="15">
        <v>30</v>
      </c>
      <c r="I46" s="31"/>
      <c r="J46" s="15" t="str">
        <f t="shared" si="0"/>
        <v/>
      </c>
      <c r="K46" s="31"/>
      <c r="L46" s="15"/>
    </row>
    <row r="47" spans="1:12">
      <c r="A47" t="s">
        <v>6</v>
      </c>
      <c r="B47" s="15" t="s">
        <v>111</v>
      </c>
      <c r="C47" s="15" t="s">
        <v>166</v>
      </c>
      <c r="D47" s="4">
        <v>1405</v>
      </c>
      <c r="E47" s="15" t="s">
        <v>249</v>
      </c>
      <c r="F47" s="15" t="s">
        <v>141</v>
      </c>
      <c r="G47" s="15" t="s">
        <v>140</v>
      </c>
      <c r="H47" s="15">
        <v>40</v>
      </c>
      <c r="I47" s="31"/>
      <c r="J47" s="15" t="str">
        <f t="shared" si="0"/>
        <v/>
      </c>
      <c r="K47" s="31"/>
      <c r="L47" s="15"/>
    </row>
    <row r="48" spans="1:12">
      <c r="A48" t="s">
        <v>6</v>
      </c>
      <c r="B48" s="15" t="s">
        <v>111</v>
      </c>
      <c r="C48" s="15" t="s">
        <v>166</v>
      </c>
      <c r="D48" s="4">
        <v>1405</v>
      </c>
      <c r="E48" s="15" t="s">
        <v>250</v>
      </c>
      <c r="F48" s="15" t="s">
        <v>141</v>
      </c>
      <c r="G48" s="15" t="s">
        <v>140</v>
      </c>
      <c r="H48" s="15">
        <v>60</v>
      </c>
      <c r="I48" s="31"/>
      <c r="J48" s="15" t="str">
        <f t="shared" si="0"/>
        <v/>
      </c>
      <c r="K48" s="31"/>
      <c r="L48" s="15"/>
    </row>
    <row r="49" spans="1:12">
      <c r="A49" t="s">
        <v>6</v>
      </c>
      <c r="B49" s="15" t="s">
        <v>111</v>
      </c>
      <c r="C49" s="15" t="s">
        <v>166</v>
      </c>
      <c r="D49" s="4">
        <v>1405</v>
      </c>
      <c r="E49" s="15" t="s">
        <v>238</v>
      </c>
      <c r="F49" s="15" t="s">
        <v>141</v>
      </c>
      <c r="G49" s="15" t="s">
        <v>140</v>
      </c>
      <c r="H49" s="15">
        <v>70</v>
      </c>
      <c r="I49" s="31"/>
      <c r="J49" s="15" t="str">
        <f t="shared" si="0"/>
        <v/>
      </c>
      <c r="K49" s="31"/>
      <c r="L49" s="15"/>
    </row>
    <row r="50" spans="1:12">
      <c r="A50" t="s">
        <v>6</v>
      </c>
      <c r="B50" s="15" t="s">
        <v>111</v>
      </c>
      <c r="C50" s="15" t="s">
        <v>166</v>
      </c>
      <c r="D50" s="4">
        <v>1405</v>
      </c>
      <c r="E50" s="15" t="s">
        <v>240</v>
      </c>
      <c r="F50" s="15" t="s">
        <v>141</v>
      </c>
      <c r="G50" s="15" t="s">
        <v>140</v>
      </c>
      <c r="H50" s="15">
        <v>75</v>
      </c>
      <c r="I50" s="31"/>
      <c r="J50" s="15" t="str">
        <f t="shared" si="0"/>
        <v/>
      </c>
      <c r="K50" s="31"/>
      <c r="L50" s="15"/>
    </row>
    <row r="51" spans="1:12">
      <c r="A51" t="s">
        <v>6</v>
      </c>
      <c r="B51" s="15" t="s">
        <v>111</v>
      </c>
      <c r="C51" s="15" t="s">
        <v>166</v>
      </c>
      <c r="D51" s="4">
        <v>1405</v>
      </c>
      <c r="E51" s="15" t="s">
        <v>241</v>
      </c>
      <c r="F51" s="15" t="s">
        <v>141</v>
      </c>
      <c r="G51" s="15" t="s">
        <v>140</v>
      </c>
      <c r="H51" s="15">
        <v>80</v>
      </c>
      <c r="I51" s="31"/>
      <c r="J51" s="15" t="str">
        <f t="shared" si="0"/>
        <v/>
      </c>
      <c r="K51" s="31"/>
      <c r="L51" s="15"/>
    </row>
    <row r="52" spans="1:12">
      <c r="A52" t="s">
        <v>6</v>
      </c>
      <c r="B52" s="15" t="s">
        <v>111</v>
      </c>
      <c r="C52" s="15" t="s">
        <v>166</v>
      </c>
      <c r="D52" s="4">
        <v>1405</v>
      </c>
      <c r="E52" s="15" t="s">
        <v>242</v>
      </c>
      <c r="F52" s="15" t="s">
        <v>141</v>
      </c>
      <c r="G52" s="15" t="s">
        <v>140</v>
      </c>
      <c r="H52" s="15">
        <v>85</v>
      </c>
      <c r="I52" s="31"/>
      <c r="J52" s="15" t="str">
        <f t="shared" si="0"/>
        <v/>
      </c>
      <c r="K52" s="31"/>
      <c r="L52" s="15"/>
    </row>
    <row r="53" spans="1:12">
      <c r="A53" t="s">
        <v>6</v>
      </c>
      <c r="B53" s="15" t="s">
        <v>111</v>
      </c>
      <c r="C53" s="15" t="s">
        <v>166</v>
      </c>
      <c r="D53" s="4">
        <v>1405</v>
      </c>
      <c r="E53" s="15" t="s">
        <v>243</v>
      </c>
      <c r="F53" s="15" t="s">
        <v>141</v>
      </c>
      <c r="G53" s="15" t="s">
        <v>140</v>
      </c>
      <c r="H53" s="15">
        <v>90</v>
      </c>
      <c r="I53" s="31"/>
      <c r="J53" s="15" t="str">
        <f t="shared" si="0"/>
        <v/>
      </c>
      <c r="K53" s="31"/>
      <c r="L53" s="15"/>
    </row>
    <row r="54" spans="1:12">
      <c r="A54" t="s">
        <v>6</v>
      </c>
      <c r="B54" s="15" t="s">
        <v>111</v>
      </c>
      <c r="C54" s="15" t="s">
        <v>166</v>
      </c>
      <c r="D54" s="4">
        <v>1405</v>
      </c>
      <c r="E54" s="15" t="s">
        <v>234</v>
      </c>
      <c r="F54" s="15" t="s">
        <v>141</v>
      </c>
      <c r="G54" s="15" t="s">
        <v>140</v>
      </c>
      <c r="H54" s="15">
        <v>100</v>
      </c>
      <c r="I54" s="31"/>
      <c r="J54" s="15" t="str">
        <f t="shared" si="0"/>
        <v/>
      </c>
      <c r="K54" s="31"/>
      <c r="L54" s="15"/>
    </row>
    <row r="55" spans="1:12" ht="22.8">
      <c r="A55" t="s">
        <v>6</v>
      </c>
      <c r="B55" s="15" t="s">
        <v>117</v>
      </c>
      <c r="C55" s="15" t="s">
        <v>168</v>
      </c>
      <c r="D55" s="4">
        <v>1405</v>
      </c>
      <c r="E55" s="15" t="s">
        <v>248</v>
      </c>
      <c r="F55" s="15" t="s">
        <v>141</v>
      </c>
      <c r="G55" s="15" t="s">
        <v>140</v>
      </c>
      <c r="H55" s="15">
        <v>30</v>
      </c>
      <c r="I55" s="31"/>
      <c r="J55" s="15" t="str">
        <f t="shared" si="0"/>
        <v/>
      </c>
      <c r="K55" s="31"/>
      <c r="L55" s="15"/>
    </row>
    <row r="56" spans="1:12" ht="22.8">
      <c r="A56" t="s">
        <v>6</v>
      </c>
      <c r="B56" s="15" t="s">
        <v>117</v>
      </c>
      <c r="C56" s="15" t="s">
        <v>168</v>
      </c>
      <c r="D56" s="4">
        <v>1405</v>
      </c>
      <c r="E56" s="15" t="s">
        <v>249</v>
      </c>
      <c r="F56" s="15" t="s">
        <v>141</v>
      </c>
      <c r="G56" s="15" t="s">
        <v>140</v>
      </c>
      <c r="H56" s="15">
        <v>40</v>
      </c>
      <c r="I56" s="31"/>
      <c r="J56" s="15" t="str">
        <f t="shared" si="0"/>
        <v/>
      </c>
      <c r="K56" s="31"/>
      <c r="L56" s="15"/>
    </row>
    <row r="57" spans="1:12" ht="22.8">
      <c r="A57" t="s">
        <v>6</v>
      </c>
      <c r="B57" s="15" t="s">
        <v>117</v>
      </c>
      <c r="C57" s="15" t="s">
        <v>168</v>
      </c>
      <c r="D57" s="4">
        <v>1405</v>
      </c>
      <c r="E57" s="15" t="s">
        <v>250</v>
      </c>
      <c r="F57" s="15" t="s">
        <v>141</v>
      </c>
      <c r="G57" s="15" t="s">
        <v>140</v>
      </c>
      <c r="H57" s="15">
        <v>50</v>
      </c>
      <c r="I57" s="31"/>
      <c r="J57" s="15" t="str">
        <f t="shared" si="0"/>
        <v/>
      </c>
      <c r="K57" s="31"/>
      <c r="L57" s="15"/>
    </row>
    <row r="58" spans="1:12" ht="22.8">
      <c r="A58" t="s">
        <v>6</v>
      </c>
      <c r="B58" s="15" t="s">
        <v>117</v>
      </c>
      <c r="C58" s="15" t="s">
        <v>168</v>
      </c>
      <c r="D58" s="4">
        <v>1405</v>
      </c>
      <c r="E58" s="15" t="s">
        <v>238</v>
      </c>
      <c r="F58" s="15" t="s">
        <v>141</v>
      </c>
      <c r="G58" s="15" t="s">
        <v>140</v>
      </c>
      <c r="H58" s="15">
        <v>60</v>
      </c>
      <c r="I58" s="31"/>
      <c r="J58" s="15" t="str">
        <f t="shared" si="0"/>
        <v/>
      </c>
      <c r="K58" s="31"/>
      <c r="L58" s="15"/>
    </row>
    <row r="59" spans="1:12" ht="22.8">
      <c r="A59" t="s">
        <v>6</v>
      </c>
      <c r="B59" s="15" t="s">
        <v>117</v>
      </c>
      <c r="C59" s="15" t="s">
        <v>168</v>
      </c>
      <c r="D59" s="4">
        <v>1405</v>
      </c>
      <c r="E59" s="15" t="s">
        <v>240</v>
      </c>
      <c r="F59" s="15" t="s">
        <v>141</v>
      </c>
      <c r="G59" s="15" t="s">
        <v>140</v>
      </c>
      <c r="H59" s="15">
        <v>70</v>
      </c>
      <c r="I59" s="31"/>
      <c r="J59" s="15" t="str">
        <f t="shared" si="0"/>
        <v/>
      </c>
      <c r="K59" s="31"/>
      <c r="L59" s="15"/>
    </row>
    <row r="60" spans="1:12" ht="22.8">
      <c r="A60" t="s">
        <v>6</v>
      </c>
      <c r="B60" s="15" t="s">
        <v>117</v>
      </c>
      <c r="C60" s="15" t="s">
        <v>168</v>
      </c>
      <c r="D60" s="4">
        <v>1405</v>
      </c>
      <c r="E60" s="15" t="s">
        <v>241</v>
      </c>
      <c r="F60" s="15" t="s">
        <v>141</v>
      </c>
      <c r="G60" s="15" t="s">
        <v>140</v>
      </c>
      <c r="H60" s="15">
        <v>80</v>
      </c>
      <c r="I60" s="31"/>
      <c r="J60" s="15" t="str">
        <f t="shared" si="0"/>
        <v/>
      </c>
      <c r="K60" s="31"/>
      <c r="L60" s="15"/>
    </row>
    <row r="61" spans="1:12" ht="22.8">
      <c r="A61" t="s">
        <v>6</v>
      </c>
      <c r="B61" s="15" t="s">
        <v>117</v>
      </c>
      <c r="C61" s="15" t="s">
        <v>168</v>
      </c>
      <c r="D61" s="4">
        <v>1405</v>
      </c>
      <c r="E61" s="15" t="s">
        <v>242</v>
      </c>
      <c r="F61" s="15" t="s">
        <v>141</v>
      </c>
      <c r="G61" s="15" t="s">
        <v>140</v>
      </c>
      <c r="H61" s="15">
        <v>85</v>
      </c>
      <c r="I61" s="31"/>
      <c r="J61" s="15" t="str">
        <f t="shared" si="0"/>
        <v/>
      </c>
      <c r="K61" s="31"/>
      <c r="L61" s="15"/>
    </row>
    <row r="62" spans="1:12" ht="22.8">
      <c r="A62" t="s">
        <v>6</v>
      </c>
      <c r="B62" s="15" t="s">
        <v>117</v>
      </c>
      <c r="C62" s="15" t="s">
        <v>168</v>
      </c>
      <c r="D62" s="4">
        <v>1405</v>
      </c>
      <c r="E62" s="15" t="s">
        <v>243</v>
      </c>
      <c r="F62" s="15" t="s">
        <v>141</v>
      </c>
      <c r="G62" s="15" t="s">
        <v>140</v>
      </c>
      <c r="H62" s="15">
        <v>90</v>
      </c>
      <c r="I62" s="31"/>
      <c r="J62" s="15" t="str">
        <f t="shared" si="0"/>
        <v/>
      </c>
      <c r="K62" s="31"/>
      <c r="L62" s="15"/>
    </row>
    <row r="63" spans="1:12" ht="22.8">
      <c r="A63" t="s">
        <v>6</v>
      </c>
      <c r="B63" s="15" t="s">
        <v>117</v>
      </c>
      <c r="C63" s="15" t="s">
        <v>168</v>
      </c>
      <c r="D63" s="4">
        <v>1405</v>
      </c>
      <c r="E63" s="15" t="s">
        <v>234</v>
      </c>
      <c r="F63" s="15" t="s">
        <v>141</v>
      </c>
      <c r="G63" s="15" t="s">
        <v>140</v>
      </c>
      <c r="H63" s="15">
        <v>100</v>
      </c>
      <c r="I63" s="31"/>
      <c r="J63" s="15" t="str">
        <f t="shared" si="0"/>
        <v/>
      </c>
      <c r="K63" s="31"/>
      <c r="L63" s="15"/>
    </row>
    <row r="64" spans="1:12" ht="22.8">
      <c r="A64" t="s">
        <v>6</v>
      </c>
      <c r="B64" s="24" t="s">
        <v>128</v>
      </c>
      <c r="C64" s="24" t="s">
        <v>168</v>
      </c>
      <c r="D64" s="33">
        <v>1405</v>
      </c>
      <c r="E64" s="24" t="s">
        <v>225</v>
      </c>
      <c r="F64" s="34" t="s">
        <v>143</v>
      </c>
      <c r="G64" s="35" t="s">
        <v>145</v>
      </c>
      <c r="H64" s="15">
        <v>20</v>
      </c>
      <c r="I64" s="36">
        <v>16</v>
      </c>
      <c r="J64" s="15">
        <f>IF(OR(H64="",I64=""),"",IFERROR(I64/H64*100,""))</f>
        <v>80</v>
      </c>
      <c r="K64" s="36"/>
      <c r="L64" s="15"/>
    </row>
  </sheetData>
  <conditionalFormatting sqref="A1">
    <cfRule type="duplicateValues" dxfId="24" priority="1"/>
    <cfRule type="duplicateValues" dxfId="23" priority="2"/>
  </conditionalFormatting>
  <conditionalFormatting sqref="B1:L1">
    <cfRule type="duplicateValues" dxfId="22" priority="27"/>
    <cfRule type="duplicateValues" dxfId="21" priority="28"/>
  </conditionalFormatting>
  <conditionalFormatting sqref="J2:J64">
    <cfRule type="colorScale" priority="3">
      <colorScale>
        <cfvo type="min"/>
        <cfvo type="percentile" val="50"/>
        <cfvo type="max"/>
        <color rgb="FFF8D7DA"/>
        <color rgb="FFFFF3CD"/>
        <color rgb="FFD1E7DD"/>
      </colorScale>
    </cfRule>
  </conditionalFormatting>
  <dataValidations count="1">
    <dataValidation type="list" allowBlank="1" showInputMessage="1" showErrorMessage="1" sqref="E2:E1048576" xr:uid="{0B4283B6-5986-43B6-829A-6938953A7F4C}">
      <formula1>"فروردین ,اردیبهشت ,خرداد ,تیر ,مرداد ,شهریور ,مهر ,آبان ,آذر ,دی ,بهمن ,اسفند"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7F0BEEA-F9CB-4D99-B481-7B60B92E19C9}">
          <x14:formula1>
            <xm:f>'شاخص میانی'!$B:$B</xm:f>
          </x14:formula1>
          <xm:sqref>F64:F1048576</xm:sqref>
        </x14:dataValidation>
        <x14:dataValidation type="list" allowBlank="1" showInputMessage="1" showErrorMessage="1" xr:uid="{2B478FCA-95E6-4D7B-A3E2-A455161B176F}">
          <x14:formula1>
            <xm:f>'شاخص میانی'!$D:$D</xm:f>
          </x14:formula1>
          <xm:sqref>G64:G1048576</xm:sqref>
        </x14:dataValidation>
        <x14:dataValidation type="list" allowBlank="1" showInputMessage="1" showErrorMessage="1" xr:uid="{86902F14-0BE6-46DA-ADED-F368F1D421D1}">
          <x14:formula1>
            <xm:f>'کسب و کار'!$B:$B</xm:f>
          </x14:formula1>
          <xm:sqref>B2:B1048576</xm:sqref>
        </x14:dataValidation>
        <x14:dataValidation type="list" allowBlank="1" showInputMessage="1" showErrorMessage="1" xr:uid="{F56AF394-9D18-4E68-A13C-E5EA820CCAB7}">
          <x14:formula1>
            <xm:f>برنامه!$B:$B</xm:f>
          </x14:formula1>
          <xm:sqref>C2:C1048576</xm:sqref>
        </x14:dataValidation>
        <x14:dataValidation type="list" allowBlank="1" showInputMessage="1" showErrorMessage="1" xr:uid="{9696D409-EA3A-4DD8-BA76-63963C3A42CD}">
          <x14:formula1>
            <xm:f>'واحد تجاری'!$A:$A</xm:f>
          </x14:formula1>
          <xm:sqref>A2:A1048576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FE0D6-8BF3-4F0C-B15E-090A9ABD452F}">
  <dimension ref="A1:I60"/>
  <sheetViews>
    <sheetView rightToLeft="1" topLeftCell="C1" workbookViewId="0">
      <selection activeCell="E1" sqref="E1"/>
    </sheetView>
  </sheetViews>
  <sheetFormatPr defaultRowHeight="14.4"/>
  <cols>
    <col min="1" max="1" width="18.109375" customWidth="1"/>
    <col min="2" max="2" width="38.109375" customWidth="1"/>
    <col min="3" max="3" width="52.21875" bestFit="1" customWidth="1"/>
    <col min="5" max="5" width="18.109375" customWidth="1"/>
    <col min="6" max="6" width="46.21875" customWidth="1"/>
    <col min="7" max="7" width="24.44140625" customWidth="1"/>
    <col min="8" max="8" width="21.44140625" customWidth="1"/>
    <col min="9" max="9" width="46.44140625" customWidth="1"/>
  </cols>
  <sheetData>
    <row r="1" spans="1:9" ht="17.399999999999999">
      <c r="A1" s="23" t="s">
        <v>66</v>
      </c>
      <c r="B1" s="23" t="s">
        <v>7</v>
      </c>
      <c r="C1" s="23" t="s">
        <v>1</v>
      </c>
      <c r="D1" s="23" t="s">
        <v>34</v>
      </c>
      <c r="E1" s="23" t="s">
        <v>35</v>
      </c>
      <c r="F1" s="23" t="s">
        <v>69</v>
      </c>
      <c r="G1" s="23" t="s">
        <v>70</v>
      </c>
      <c r="H1" s="23" t="s">
        <v>71</v>
      </c>
      <c r="I1" s="23" t="s">
        <v>72</v>
      </c>
    </row>
    <row r="2" spans="1:9">
      <c r="A2" t="s">
        <v>6</v>
      </c>
      <c r="B2" t="s">
        <v>99</v>
      </c>
      <c r="C2" t="s">
        <v>154</v>
      </c>
      <c r="D2">
        <v>1405</v>
      </c>
      <c r="E2" s="15" t="s">
        <v>225</v>
      </c>
      <c r="F2" s="15" t="s">
        <v>171</v>
      </c>
    </row>
    <row r="3" spans="1:9">
      <c r="A3" t="s">
        <v>6</v>
      </c>
      <c r="B3" t="s">
        <v>99</v>
      </c>
      <c r="C3" t="s">
        <v>154</v>
      </c>
      <c r="D3">
        <v>1405</v>
      </c>
      <c r="E3" s="15" t="s">
        <v>248</v>
      </c>
      <c r="F3" s="15" t="s">
        <v>173</v>
      </c>
    </row>
    <row r="4" spans="1:9">
      <c r="A4" t="s">
        <v>6</v>
      </c>
      <c r="B4" t="s">
        <v>99</v>
      </c>
      <c r="C4" t="s">
        <v>154</v>
      </c>
      <c r="D4">
        <v>1405</v>
      </c>
      <c r="E4" s="15" t="s">
        <v>249</v>
      </c>
      <c r="F4" s="15" t="s">
        <v>174</v>
      </c>
    </row>
    <row r="5" spans="1:9">
      <c r="A5" t="s">
        <v>6</v>
      </c>
      <c r="B5" t="s">
        <v>99</v>
      </c>
      <c r="C5" t="s">
        <v>154</v>
      </c>
      <c r="D5">
        <v>1405</v>
      </c>
      <c r="E5" s="15" t="s">
        <v>250</v>
      </c>
      <c r="F5" s="15" t="s">
        <v>175</v>
      </c>
    </row>
    <row r="6" spans="1:9">
      <c r="A6" t="s">
        <v>6</v>
      </c>
      <c r="B6" t="s">
        <v>99</v>
      </c>
      <c r="C6" t="s">
        <v>154</v>
      </c>
      <c r="D6">
        <v>1405</v>
      </c>
      <c r="E6" s="15" t="s">
        <v>238</v>
      </c>
      <c r="F6" s="15" t="s">
        <v>175</v>
      </c>
    </row>
    <row r="7" spans="1:9">
      <c r="A7" t="s">
        <v>6</v>
      </c>
      <c r="B7" t="s">
        <v>99</v>
      </c>
      <c r="C7" t="s">
        <v>154</v>
      </c>
      <c r="D7">
        <v>1405</v>
      </c>
      <c r="E7" s="15" t="s">
        <v>240</v>
      </c>
      <c r="F7" s="15" t="s">
        <v>175</v>
      </c>
    </row>
    <row r="8" spans="1:9">
      <c r="A8" t="s">
        <v>6</v>
      </c>
      <c r="B8" t="s">
        <v>99</v>
      </c>
      <c r="C8" t="s">
        <v>154</v>
      </c>
      <c r="D8">
        <v>1405</v>
      </c>
      <c r="E8" s="15" t="s">
        <v>241</v>
      </c>
      <c r="F8" s="15" t="s">
        <v>175</v>
      </c>
    </row>
    <row r="9" spans="1:9">
      <c r="A9" t="s">
        <v>6</v>
      </c>
      <c r="B9" t="s">
        <v>99</v>
      </c>
      <c r="C9" t="s">
        <v>154</v>
      </c>
      <c r="D9">
        <v>1405</v>
      </c>
      <c r="E9" s="15" t="s">
        <v>242</v>
      </c>
      <c r="F9" s="15" t="s">
        <v>175</v>
      </c>
    </row>
    <row r="10" spans="1:9">
      <c r="A10" t="s">
        <v>6</v>
      </c>
      <c r="B10" t="s">
        <v>99</v>
      </c>
      <c r="C10" t="s">
        <v>154</v>
      </c>
      <c r="D10">
        <v>1405</v>
      </c>
      <c r="E10" s="15" t="s">
        <v>243</v>
      </c>
      <c r="F10" s="15" t="s">
        <v>175</v>
      </c>
    </row>
    <row r="11" spans="1:9">
      <c r="A11" t="s">
        <v>6</v>
      </c>
      <c r="B11" t="s">
        <v>99</v>
      </c>
      <c r="C11" t="s">
        <v>154</v>
      </c>
      <c r="D11">
        <v>1405</v>
      </c>
      <c r="E11" s="15" t="s">
        <v>234</v>
      </c>
      <c r="F11" s="15" t="s">
        <v>175</v>
      </c>
    </row>
    <row r="12" spans="1:9">
      <c r="A12" t="s">
        <v>6</v>
      </c>
      <c r="B12" t="s">
        <v>99</v>
      </c>
      <c r="C12" t="s">
        <v>156</v>
      </c>
      <c r="D12">
        <v>1405</v>
      </c>
      <c r="E12" s="15" t="s">
        <v>247</v>
      </c>
      <c r="F12" s="15" t="s">
        <v>176</v>
      </c>
    </row>
    <row r="13" spans="1:9">
      <c r="A13" t="s">
        <v>6</v>
      </c>
      <c r="B13" t="s">
        <v>99</v>
      </c>
      <c r="C13" t="s">
        <v>156</v>
      </c>
      <c r="D13">
        <v>1405</v>
      </c>
      <c r="E13" s="15" t="s">
        <v>248</v>
      </c>
      <c r="F13" s="15" t="s">
        <v>177</v>
      </c>
    </row>
    <row r="14" spans="1:9">
      <c r="A14" t="s">
        <v>6</v>
      </c>
      <c r="B14" t="s">
        <v>99</v>
      </c>
      <c r="C14" t="s">
        <v>156</v>
      </c>
      <c r="D14">
        <v>1405</v>
      </c>
      <c r="E14" s="15" t="s">
        <v>249</v>
      </c>
      <c r="F14" s="15" t="s">
        <v>178</v>
      </c>
    </row>
    <row r="15" spans="1:9">
      <c r="A15" t="s">
        <v>6</v>
      </c>
      <c r="B15" t="s">
        <v>99</v>
      </c>
      <c r="C15" t="s">
        <v>156</v>
      </c>
      <c r="D15">
        <v>1405</v>
      </c>
      <c r="E15" s="15" t="s">
        <v>250</v>
      </c>
      <c r="F15" s="15" t="s">
        <v>179</v>
      </c>
    </row>
    <row r="16" spans="1:9">
      <c r="A16" t="s">
        <v>6</v>
      </c>
      <c r="B16" t="s">
        <v>99</v>
      </c>
      <c r="C16" t="s">
        <v>156</v>
      </c>
      <c r="D16">
        <v>1405</v>
      </c>
      <c r="E16" s="15" t="s">
        <v>238</v>
      </c>
      <c r="F16" s="15" t="s">
        <v>180</v>
      </c>
    </row>
    <row r="17" spans="1:6">
      <c r="A17" t="s">
        <v>6</v>
      </c>
      <c r="B17" t="s">
        <v>99</v>
      </c>
      <c r="C17" t="s">
        <v>156</v>
      </c>
      <c r="D17">
        <v>1405</v>
      </c>
      <c r="E17" s="15" t="s">
        <v>240</v>
      </c>
      <c r="F17" s="15" t="s">
        <v>181</v>
      </c>
    </row>
    <row r="18" spans="1:6">
      <c r="A18" t="s">
        <v>6</v>
      </c>
      <c r="B18" t="s">
        <v>99</v>
      </c>
      <c r="C18" t="s">
        <v>156</v>
      </c>
      <c r="D18">
        <v>1405</v>
      </c>
      <c r="E18" s="15" t="s">
        <v>241</v>
      </c>
      <c r="F18" s="15" t="s">
        <v>182</v>
      </c>
    </row>
    <row r="19" spans="1:6">
      <c r="A19" t="s">
        <v>6</v>
      </c>
      <c r="B19" t="s">
        <v>99</v>
      </c>
      <c r="C19" t="s">
        <v>158</v>
      </c>
      <c r="D19">
        <v>1405</v>
      </c>
      <c r="E19" s="15" t="s">
        <v>249</v>
      </c>
      <c r="F19" s="15" t="s">
        <v>183</v>
      </c>
    </row>
    <row r="20" spans="1:6">
      <c r="A20" t="s">
        <v>6</v>
      </c>
      <c r="B20" t="s">
        <v>99</v>
      </c>
      <c r="C20" t="s">
        <v>158</v>
      </c>
      <c r="D20">
        <v>1405</v>
      </c>
      <c r="E20" s="15" t="s">
        <v>250</v>
      </c>
      <c r="F20" s="15" t="s">
        <v>184</v>
      </c>
    </row>
    <row r="21" spans="1:6">
      <c r="A21" t="s">
        <v>6</v>
      </c>
      <c r="B21" t="s">
        <v>99</v>
      </c>
      <c r="C21" t="s">
        <v>158</v>
      </c>
      <c r="D21">
        <v>1405</v>
      </c>
      <c r="E21" s="15" t="s">
        <v>249</v>
      </c>
      <c r="F21" s="15" t="s">
        <v>185</v>
      </c>
    </row>
    <row r="22" spans="1:6">
      <c r="A22" t="s">
        <v>6</v>
      </c>
      <c r="B22" t="s">
        <v>99</v>
      </c>
      <c r="C22" t="s">
        <v>158</v>
      </c>
      <c r="D22">
        <v>1405</v>
      </c>
      <c r="E22" s="15" t="s">
        <v>250</v>
      </c>
      <c r="F22" s="15" t="s">
        <v>186</v>
      </c>
    </row>
    <row r="23" spans="1:6">
      <c r="A23" t="s">
        <v>6</v>
      </c>
      <c r="B23" t="s">
        <v>99</v>
      </c>
      <c r="C23" t="s">
        <v>158</v>
      </c>
      <c r="D23">
        <v>1405</v>
      </c>
      <c r="E23" s="15" t="s">
        <v>238</v>
      </c>
      <c r="F23" s="15" t="s">
        <v>187</v>
      </c>
    </row>
    <row r="24" spans="1:6">
      <c r="A24" t="s">
        <v>6</v>
      </c>
      <c r="B24" t="s">
        <v>99</v>
      </c>
      <c r="C24" t="s">
        <v>158</v>
      </c>
      <c r="D24">
        <v>1405</v>
      </c>
      <c r="E24" s="15" t="s">
        <v>240</v>
      </c>
      <c r="F24" s="15" t="s">
        <v>188</v>
      </c>
    </row>
    <row r="25" spans="1:6">
      <c r="A25" t="s">
        <v>6</v>
      </c>
      <c r="B25" t="s">
        <v>99</v>
      </c>
      <c r="C25" t="s">
        <v>158</v>
      </c>
      <c r="D25">
        <v>1405</v>
      </c>
      <c r="E25" s="15" t="s">
        <v>241</v>
      </c>
      <c r="F25" s="15" t="s">
        <v>188</v>
      </c>
    </row>
    <row r="26" spans="1:6">
      <c r="A26" t="s">
        <v>6</v>
      </c>
      <c r="B26" t="s">
        <v>99</v>
      </c>
      <c r="C26" t="s">
        <v>158</v>
      </c>
      <c r="D26">
        <v>1405</v>
      </c>
      <c r="E26" s="15" t="s">
        <v>242</v>
      </c>
      <c r="F26" s="15" t="s">
        <v>188</v>
      </c>
    </row>
    <row r="27" spans="1:6">
      <c r="A27" t="s">
        <v>6</v>
      </c>
      <c r="B27" t="s">
        <v>99</v>
      </c>
      <c r="C27" t="s">
        <v>158</v>
      </c>
      <c r="D27">
        <v>1405</v>
      </c>
      <c r="E27" s="15" t="s">
        <v>243</v>
      </c>
      <c r="F27" s="15" t="s">
        <v>188</v>
      </c>
    </row>
    <row r="28" spans="1:6">
      <c r="A28" t="s">
        <v>6</v>
      </c>
      <c r="B28" t="s">
        <v>99</v>
      </c>
      <c r="C28" t="s">
        <v>158</v>
      </c>
      <c r="D28">
        <v>1405</v>
      </c>
      <c r="E28" s="15" t="s">
        <v>234</v>
      </c>
      <c r="F28" s="15" t="s">
        <v>188</v>
      </c>
    </row>
    <row r="29" spans="1:6">
      <c r="A29" t="s">
        <v>6</v>
      </c>
      <c r="B29" t="s">
        <v>99</v>
      </c>
      <c r="C29" t="s">
        <v>162</v>
      </c>
      <c r="D29">
        <v>1405</v>
      </c>
      <c r="E29" s="15" t="s">
        <v>248</v>
      </c>
      <c r="F29" s="15" t="s">
        <v>189</v>
      </c>
    </row>
    <row r="30" spans="1:6">
      <c r="A30" t="s">
        <v>6</v>
      </c>
      <c r="B30" t="s">
        <v>99</v>
      </c>
      <c r="C30" t="s">
        <v>162</v>
      </c>
      <c r="D30">
        <v>1405</v>
      </c>
      <c r="E30" s="15" t="s">
        <v>249</v>
      </c>
      <c r="F30" s="15" t="s">
        <v>190</v>
      </c>
    </row>
    <row r="31" spans="1:6">
      <c r="A31" t="s">
        <v>6</v>
      </c>
      <c r="B31" t="s">
        <v>99</v>
      </c>
      <c r="C31" t="s">
        <v>162</v>
      </c>
      <c r="D31">
        <v>1405</v>
      </c>
      <c r="E31" s="15" t="s">
        <v>250</v>
      </c>
      <c r="F31" s="15" t="s">
        <v>187</v>
      </c>
    </row>
    <row r="32" spans="1:6">
      <c r="A32" t="s">
        <v>6</v>
      </c>
      <c r="B32" t="s">
        <v>99</v>
      </c>
      <c r="C32" t="s">
        <v>162</v>
      </c>
      <c r="D32">
        <v>1405</v>
      </c>
      <c r="E32" s="15" t="s">
        <v>238</v>
      </c>
      <c r="F32" s="15" t="s">
        <v>191</v>
      </c>
    </row>
    <row r="33" spans="1:6">
      <c r="A33" t="s">
        <v>6</v>
      </c>
      <c r="B33" t="s">
        <v>99</v>
      </c>
      <c r="C33" t="s">
        <v>162</v>
      </c>
      <c r="D33">
        <v>1405</v>
      </c>
      <c r="E33" s="15" t="s">
        <v>240</v>
      </c>
      <c r="F33" s="15" t="s">
        <v>191</v>
      </c>
    </row>
    <row r="34" spans="1:6">
      <c r="A34" t="s">
        <v>6</v>
      </c>
      <c r="B34" t="s">
        <v>99</v>
      </c>
      <c r="C34" t="s">
        <v>162</v>
      </c>
      <c r="D34">
        <v>1405</v>
      </c>
      <c r="E34" s="15" t="s">
        <v>241</v>
      </c>
      <c r="F34" s="15" t="s">
        <v>191</v>
      </c>
    </row>
    <row r="35" spans="1:6">
      <c r="A35" t="s">
        <v>6</v>
      </c>
      <c r="B35" t="s">
        <v>99</v>
      </c>
      <c r="C35" t="s">
        <v>162</v>
      </c>
      <c r="D35">
        <v>1405</v>
      </c>
      <c r="E35" s="15" t="s">
        <v>242</v>
      </c>
      <c r="F35" s="15" t="s">
        <v>191</v>
      </c>
    </row>
    <row r="36" spans="1:6">
      <c r="A36" t="s">
        <v>6</v>
      </c>
      <c r="B36" t="s">
        <v>99</v>
      </c>
      <c r="C36" t="s">
        <v>162</v>
      </c>
      <c r="D36">
        <v>1405</v>
      </c>
      <c r="E36" s="15" t="s">
        <v>243</v>
      </c>
      <c r="F36" s="15" t="s">
        <v>191</v>
      </c>
    </row>
    <row r="37" spans="1:6">
      <c r="A37" t="s">
        <v>6</v>
      </c>
      <c r="B37" t="s">
        <v>99</v>
      </c>
      <c r="C37" t="s">
        <v>162</v>
      </c>
      <c r="D37">
        <v>1405</v>
      </c>
      <c r="E37" s="15" t="s">
        <v>234</v>
      </c>
      <c r="F37" s="15" t="s">
        <v>191</v>
      </c>
    </row>
    <row r="38" spans="1:6">
      <c r="A38" t="s">
        <v>6</v>
      </c>
      <c r="B38" t="s">
        <v>111</v>
      </c>
      <c r="C38" t="s">
        <v>164</v>
      </c>
      <c r="D38">
        <v>1405</v>
      </c>
      <c r="E38" s="15" t="s">
        <v>248</v>
      </c>
      <c r="F38" s="15" t="s">
        <v>192</v>
      </c>
    </row>
    <row r="39" spans="1:6">
      <c r="A39" t="s">
        <v>6</v>
      </c>
      <c r="B39" t="s">
        <v>111</v>
      </c>
      <c r="C39" t="s">
        <v>164</v>
      </c>
      <c r="D39">
        <v>1405</v>
      </c>
      <c r="E39" s="15" t="s">
        <v>249</v>
      </c>
      <c r="F39" s="15" t="s">
        <v>193</v>
      </c>
    </row>
    <row r="40" spans="1:6">
      <c r="A40" t="s">
        <v>6</v>
      </c>
      <c r="B40" t="s">
        <v>111</v>
      </c>
      <c r="C40" t="s">
        <v>164</v>
      </c>
      <c r="D40">
        <v>1405</v>
      </c>
      <c r="E40" s="15" t="s">
        <v>250</v>
      </c>
      <c r="F40" s="15" t="s">
        <v>194</v>
      </c>
    </row>
    <row r="41" spans="1:6">
      <c r="A41" t="s">
        <v>6</v>
      </c>
      <c r="B41" t="s">
        <v>111</v>
      </c>
      <c r="C41" t="s">
        <v>164</v>
      </c>
      <c r="D41">
        <v>1405</v>
      </c>
      <c r="E41" s="15" t="s">
        <v>238</v>
      </c>
      <c r="F41" s="15" t="s">
        <v>195</v>
      </c>
    </row>
    <row r="42" spans="1:6">
      <c r="A42" t="s">
        <v>6</v>
      </c>
      <c r="B42" t="s">
        <v>111</v>
      </c>
      <c r="C42" t="s">
        <v>164</v>
      </c>
      <c r="D42">
        <v>1405</v>
      </c>
      <c r="E42" s="15" t="s">
        <v>240</v>
      </c>
      <c r="F42" s="15" t="s">
        <v>191</v>
      </c>
    </row>
    <row r="43" spans="1:6">
      <c r="A43" t="s">
        <v>6</v>
      </c>
      <c r="B43" t="s">
        <v>111</v>
      </c>
      <c r="C43" t="s">
        <v>164</v>
      </c>
      <c r="D43">
        <v>1405</v>
      </c>
      <c r="E43" s="15" t="s">
        <v>241</v>
      </c>
      <c r="F43" s="15" t="s">
        <v>191</v>
      </c>
    </row>
    <row r="44" spans="1:6">
      <c r="A44" t="s">
        <v>6</v>
      </c>
      <c r="B44" t="s">
        <v>111</v>
      </c>
      <c r="C44" t="s">
        <v>164</v>
      </c>
      <c r="D44">
        <v>1405</v>
      </c>
      <c r="E44" s="15" t="s">
        <v>242</v>
      </c>
      <c r="F44" s="15" t="s">
        <v>191</v>
      </c>
    </row>
    <row r="45" spans="1:6">
      <c r="A45" t="s">
        <v>6</v>
      </c>
      <c r="B45" t="s">
        <v>111</v>
      </c>
      <c r="C45" t="s">
        <v>164</v>
      </c>
      <c r="D45">
        <v>1405</v>
      </c>
      <c r="E45" s="15" t="s">
        <v>243</v>
      </c>
      <c r="F45" s="15" t="s">
        <v>191</v>
      </c>
    </row>
    <row r="46" spans="1:6">
      <c r="A46" t="s">
        <v>6</v>
      </c>
      <c r="B46" t="s">
        <v>111</v>
      </c>
      <c r="C46" t="s">
        <v>164</v>
      </c>
      <c r="D46">
        <v>1405</v>
      </c>
      <c r="E46" s="15" t="s">
        <v>234</v>
      </c>
      <c r="F46" s="15" t="s">
        <v>191</v>
      </c>
    </row>
    <row r="47" spans="1:6">
      <c r="A47" t="s">
        <v>6</v>
      </c>
      <c r="B47" t="s">
        <v>111</v>
      </c>
      <c r="C47" t="s">
        <v>166</v>
      </c>
      <c r="D47">
        <v>1405</v>
      </c>
      <c r="E47" s="15" t="s">
        <v>248</v>
      </c>
      <c r="F47" s="15" t="s">
        <v>196</v>
      </c>
    </row>
    <row r="48" spans="1:6">
      <c r="A48" t="s">
        <v>6</v>
      </c>
      <c r="B48" t="s">
        <v>111</v>
      </c>
      <c r="C48" t="s">
        <v>166</v>
      </c>
      <c r="D48">
        <v>1405</v>
      </c>
      <c r="E48" s="15" t="s">
        <v>249</v>
      </c>
      <c r="F48" s="15" t="s">
        <v>197</v>
      </c>
    </row>
    <row r="49" spans="1:6">
      <c r="A49" t="s">
        <v>6</v>
      </c>
      <c r="B49" t="s">
        <v>111</v>
      </c>
      <c r="C49" t="s">
        <v>166</v>
      </c>
      <c r="D49">
        <v>1405</v>
      </c>
      <c r="E49" s="15" t="s">
        <v>238</v>
      </c>
      <c r="F49" s="15" t="s">
        <v>198</v>
      </c>
    </row>
    <row r="50" spans="1:6">
      <c r="A50" t="s">
        <v>6</v>
      </c>
      <c r="B50" t="s">
        <v>111</v>
      </c>
      <c r="C50" t="s">
        <v>166</v>
      </c>
      <c r="D50">
        <v>1405</v>
      </c>
      <c r="E50" s="15" t="s">
        <v>242</v>
      </c>
      <c r="F50" s="15" t="s">
        <v>199</v>
      </c>
    </row>
    <row r="51" spans="1:6">
      <c r="A51" t="s">
        <v>6</v>
      </c>
      <c r="B51" t="s">
        <v>117</v>
      </c>
      <c r="C51" t="s">
        <v>168</v>
      </c>
      <c r="D51">
        <v>1405</v>
      </c>
      <c r="E51" s="15" t="s">
        <v>247</v>
      </c>
      <c r="F51" s="15" t="s">
        <v>200</v>
      </c>
    </row>
    <row r="52" spans="1:6">
      <c r="A52" t="s">
        <v>6</v>
      </c>
      <c r="B52" t="s">
        <v>117</v>
      </c>
      <c r="C52" t="s">
        <v>168</v>
      </c>
      <c r="D52">
        <v>1405</v>
      </c>
      <c r="E52" s="15" t="s">
        <v>248</v>
      </c>
      <c r="F52" s="15" t="s">
        <v>201</v>
      </c>
    </row>
    <row r="53" spans="1:6">
      <c r="A53" t="s">
        <v>6</v>
      </c>
      <c r="B53" t="s">
        <v>117</v>
      </c>
      <c r="C53" t="s">
        <v>168</v>
      </c>
      <c r="D53">
        <v>1405</v>
      </c>
      <c r="E53" s="15" t="s">
        <v>249</v>
      </c>
      <c r="F53" s="15" t="s">
        <v>202</v>
      </c>
    </row>
    <row r="54" spans="1:6">
      <c r="A54" t="s">
        <v>6</v>
      </c>
      <c r="B54" t="s">
        <v>117</v>
      </c>
      <c r="C54" t="s">
        <v>168</v>
      </c>
      <c r="D54">
        <v>1405</v>
      </c>
      <c r="E54" s="15" t="s">
        <v>250</v>
      </c>
      <c r="F54" s="15" t="s">
        <v>202</v>
      </c>
    </row>
    <row r="55" spans="1:6">
      <c r="A55" t="s">
        <v>6</v>
      </c>
      <c r="B55" t="s">
        <v>117</v>
      </c>
      <c r="C55" t="s">
        <v>168</v>
      </c>
      <c r="D55">
        <v>1405</v>
      </c>
      <c r="E55" s="15" t="s">
        <v>238</v>
      </c>
      <c r="F55" s="15" t="s">
        <v>203</v>
      </c>
    </row>
    <row r="56" spans="1:6">
      <c r="A56" t="s">
        <v>6</v>
      </c>
      <c r="B56" t="s">
        <v>117</v>
      </c>
      <c r="C56" t="s">
        <v>168</v>
      </c>
      <c r="D56">
        <v>1405</v>
      </c>
      <c r="E56" s="15" t="s">
        <v>240</v>
      </c>
      <c r="F56" s="15" t="s">
        <v>204</v>
      </c>
    </row>
    <row r="57" spans="1:6">
      <c r="A57" t="s">
        <v>6</v>
      </c>
      <c r="B57" t="s">
        <v>117</v>
      </c>
      <c r="C57" t="s">
        <v>168</v>
      </c>
      <c r="D57">
        <v>1405</v>
      </c>
      <c r="E57" s="15" t="s">
        <v>241</v>
      </c>
      <c r="F57" s="15" t="s">
        <v>204</v>
      </c>
    </row>
    <row r="58" spans="1:6">
      <c r="A58" t="s">
        <v>6</v>
      </c>
      <c r="B58" t="s">
        <v>117</v>
      </c>
      <c r="C58" t="s">
        <v>168</v>
      </c>
      <c r="D58">
        <v>1405</v>
      </c>
      <c r="E58" s="15" t="s">
        <v>242</v>
      </c>
      <c r="F58" s="15" t="s">
        <v>204</v>
      </c>
    </row>
    <row r="59" spans="1:6">
      <c r="A59" t="s">
        <v>6</v>
      </c>
      <c r="B59" t="s">
        <v>117</v>
      </c>
      <c r="C59" t="s">
        <v>168</v>
      </c>
      <c r="D59">
        <v>1405</v>
      </c>
      <c r="E59" s="15" t="s">
        <v>243</v>
      </c>
      <c r="F59" s="15" t="s">
        <v>204</v>
      </c>
    </row>
    <row r="60" spans="1:6">
      <c r="A60" t="s">
        <v>6</v>
      </c>
      <c r="B60" t="s">
        <v>117</v>
      </c>
      <c r="C60" t="s">
        <v>168</v>
      </c>
      <c r="D60">
        <v>1405</v>
      </c>
      <c r="E60" s="15" t="s">
        <v>234</v>
      </c>
      <c r="F60" s="15" t="s">
        <v>204</v>
      </c>
    </row>
  </sheetData>
  <autoFilter ref="A1:I60" xr:uid="{EFCFE0D6-8BF3-4F0C-B15E-090A9ABD452F}"/>
  <conditionalFormatting sqref="A1">
    <cfRule type="duplicateValues" dxfId="20" priority="1"/>
    <cfRule type="duplicateValues" dxfId="19" priority="2"/>
  </conditionalFormatting>
  <conditionalFormatting sqref="B1:I1">
    <cfRule type="duplicateValues" dxfId="18" priority="28"/>
    <cfRule type="duplicateValues" dxfId="17" priority="29"/>
  </conditionalFormatting>
  <dataValidations count="1">
    <dataValidation type="list" allowBlank="1" showInputMessage="1" showErrorMessage="1" sqref="E2:E1048576" xr:uid="{E190310D-C66B-4B3D-98AB-EEB5BC0179FF}">
      <formula1>"فروردین ,اردیبهشت ,خرداد ,تیر ,مرداد ,شهریور ,مهر ,آبان ,آذر ,دی ,بهمن ,اسفند"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CB94626-7DE2-42FB-BDD9-D502E33FE5FE}">
          <x14:formula1>
            <xm:f>'کسب و کار'!$B:$B</xm:f>
          </x14:formula1>
          <xm:sqref>B2:B1048576</xm:sqref>
        </x14:dataValidation>
        <x14:dataValidation type="list" allowBlank="1" showInputMessage="1" showErrorMessage="1" xr:uid="{8ACC861B-6A1D-443A-9B14-8F91F2525FF9}">
          <x14:formula1>
            <xm:f>برنامه!$B:$B</xm:f>
          </x14:formula1>
          <xm:sqref>C2:C1048576</xm:sqref>
        </x14:dataValidation>
        <x14:dataValidation type="list" allowBlank="1" showInputMessage="1" showErrorMessage="1" xr:uid="{C5BD1DB8-1A8D-40C6-AF48-F73C10B80CA9}">
          <x14:formula1>
            <xm:f>اقدامات!$B:$B</xm:f>
          </x14:formula1>
          <xm:sqref>F2:F1048576</xm:sqref>
        </x14:dataValidation>
        <x14:dataValidation type="list" allowBlank="1" showInputMessage="1" showErrorMessage="1" xr:uid="{F26318EC-50B3-404B-93C6-10D9BEC94FAC}">
          <x14:formula1>
            <xm:f>'واحد تجاری'!$A:$A</xm:f>
          </x14:formula1>
          <xm:sqref>A2:A1048576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451EB-5FF2-40D9-82CD-D8352B446174}">
  <dimension ref="A1:K40"/>
  <sheetViews>
    <sheetView rightToLeft="1" topLeftCell="B1" workbookViewId="0">
      <selection activeCell="A34" sqref="A34:A40"/>
    </sheetView>
  </sheetViews>
  <sheetFormatPr defaultColWidth="9.109375" defaultRowHeight="14.4"/>
  <cols>
    <col min="1" max="1" width="18.109375" customWidth="1"/>
    <col min="2" max="2" width="57.77734375" style="1" customWidth="1"/>
    <col min="3" max="3" width="54.6640625" style="1" customWidth="1"/>
    <col min="4" max="5" width="9.109375" style="1"/>
    <col min="6" max="6" width="18.77734375" style="1" customWidth="1"/>
    <col min="7" max="7" width="16.44140625" style="1" customWidth="1"/>
    <col min="8" max="8" width="15.88671875" style="1" customWidth="1"/>
    <col min="9" max="9" width="11.6640625" style="1" customWidth="1"/>
    <col min="10" max="10" width="12.5546875" style="1" customWidth="1"/>
    <col min="11" max="11" width="37.21875" style="1" customWidth="1"/>
    <col min="12" max="16384" width="9.109375" style="1"/>
  </cols>
  <sheetData>
    <row r="1" spans="1:11" ht="36" customHeight="1">
      <c r="A1" s="23" t="s">
        <v>66</v>
      </c>
      <c r="B1" s="23" t="s">
        <v>7</v>
      </c>
      <c r="C1" s="23" t="s">
        <v>2</v>
      </c>
      <c r="D1" s="23" t="s">
        <v>34</v>
      </c>
      <c r="E1" s="23" t="s">
        <v>35</v>
      </c>
      <c r="F1" s="23" t="s">
        <v>73</v>
      </c>
      <c r="G1" s="23" t="s">
        <v>74</v>
      </c>
      <c r="H1" s="23" t="s">
        <v>75</v>
      </c>
      <c r="I1" s="23" t="s">
        <v>76</v>
      </c>
      <c r="J1" s="23" t="s">
        <v>77</v>
      </c>
      <c r="K1" s="23" t="s">
        <v>78</v>
      </c>
    </row>
    <row r="2" spans="1:11">
      <c r="A2" t="s">
        <v>6</v>
      </c>
      <c r="B2" s="15" t="s">
        <v>99</v>
      </c>
      <c r="C2" s="15" t="s">
        <v>146</v>
      </c>
      <c r="D2" s="15">
        <v>1405</v>
      </c>
      <c r="E2" s="15" t="s">
        <v>225</v>
      </c>
      <c r="F2" s="15">
        <v>10</v>
      </c>
      <c r="G2" s="15">
        <v>9</v>
      </c>
      <c r="H2" s="15">
        <f t="shared" ref="H2:H40" si="0">IF(OR(F2="",G2=""),"",G2-F2)</f>
        <v>-1</v>
      </c>
      <c r="I2" s="31"/>
      <c r="J2" s="31"/>
      <c r="K2" s="31"/>
    </row>
    <row r="3" spans="1:11">
      <c r="A3" t="s">
        <v>6</v>
      </c>
      <c r="B3" s="15" t="s">
        <v>99</v>
      </c>
      <c r="C3" s="15" t="s">
        <v>146</v>
      </c>
      <c r="D3" s="15">
        <v>1405</v>
      </c>
      <c r="E3" s="15" t="s">
        <v>226</v>
      </c>
      <c r="F3" s="15">
        <v>50</v>
      </c>
      <c r="G3" s="15"/>
      <c r="H3" s="15" t="str">
        <f t="shared" si="0"/>
        <v/>
      </c>
      <c r="I3" s="31"/>
      <c r="J3" s="31"/>
      <c r="K3" s="31"/>
    </row>
    <row r="4" spans="1:11">
      <c r="A4" t="s">
        <v>6</v>
      </c>
      <c r="B4" s="15" t="s">
        <v>99</v>
      </c>
      <c r="C4" s="15" t="s">
        <v>146</v>
      </c>
      <c r="D4" s="15">
        <v>1405</v>
      </c>
      <c r="E4" s="15" t="s">
        <v>227</v>
      </c>
      <c r="F4" s="15">
        <v>70</v>
      </c>
      <c r="G4" s="15"/>
      <c r="H4" s="15" t="str">
        <f t="shared" si="0"/>
        <v/>
      </c>
      <c r="I4" s="31"/>
      <c r="J4" s="31"/>
      <c r="K4" s="31"/>
    </row>
    <row r="5" spans="1:11">
      <c r="A5" t="s">
        <v>6</v>
      </c>
      <c r="B5" s="15" t="s">
        <v>99</v>
      </c>
      <c r="C5" s="15" t="s">
        <v>146</v>
      </c>
      <c r="D5" s="15">
        <v>1405</v>
      </c>
      <c r="E5" s="15" t="s">
        <v>228</v>
      </c>
      <c r="F5" s="15">
        <v>80</v>
      </c>
      <c r="G5" s="15"/>
      <c r="H5" s="15" t="str">
        <f t="shared" si="0"/>
        <v/>
      </c>
      <c r="I5" s="31"/>
      <c r="J5" s="31"/>
      <c r="K5" s="31"/>
    </row>
    <row r="6" spans="1:11">
      <c r="A6" t="s">
        <v>6</v>
      </c>
      <c r="B6" s="15" t="s">
        <v>99</v>
      </c>
      <c r="C6" s="15" t="s">
        <v>146</v>
      </c>
      <c r="D6" s="15">
        <v>1405</v>
      </c>
      <c r="E6" s="15" t="s">
        <v>227</v>
      </c>
      <c r="F6" s="15">
        <v>85</v>
      </c>
      <c r="G6" s="15"/>
      <c r="H6" s="15" t="str">
        <f t="shared" si="0"/>
        <v/>
      </c>
      <c r="I6" s="31"/>
      <c r="J6" s="31"/>
      <c r="K6" s="31"/>
    </row>
    <row r="7" spans="1:11">
      <c r="A7" t="s">
        <v>6</v>
      </c>
      <c r="B7" s="15" t="s">
        <v>99</v>
      </c>
      <c r="C7" s="15" t="s">
        <v>146</v>
      </c>
      <c r="D7" s="15">
        <v>1405</v>
      </c>
      <c r="E7" s="15" t="s">
        <v>230</v>
      </c>
      <c r="F7" s="15">
        <v>90</v>
      </c>
      <c r="G7" s="15"/>
      <c r="H7" s="15" t="str">
        <f t="shared" si="0"/>
        <v/>
      </c>
      <c r="I7" s="31"/>
      <c r="J7" s="31"/>
      <c r="K7" s="31"/>
    </row>
    <row r="8" spans="1:11">
      <c r="A8" t="s">
        <v>6</v>
      </c>
      <c r="B8" s="15" t="s">
        <v>99</v>
      </c>
      <c r="C8" s="15" t="s">
        <v>146</v>
      </c>
      <c r="D8" s="15">
        <v>1405</v>
      </c>
      <c r="E8" s="15" t="s">
        <v>231</v>
      </c>
      <c r="F8" s="15">
        <v>95</v>
      </c>
      <c r="G8" s="15"/>
      <c r="H8" s="15" t="str">
        <f t="shared" si="0"/>
        <v/>
      </c>
      <c r="I8" s="31"/>
      <c r="J8" s="31"/>
      <c r="K8" s="31"/>
    </row>
    <row r="9" spans="1:11">
      <c r="A9" t="s">
        <v>6</v>
      </c>
      <c r="B9" s="15" t="s">
        <v>99</v>
      </c>
      <c r="C9" s="15" t="s">
        <v>146</v>
      </c>
      <c r="D9" s="15">
        <v>1405</v>
      </c>
      <c r="E9" s="15" t="s">
        <v>232</v>
      </c>
      <c r="F9" s="15">
        <v>100</v>
      </c>
      <c r="G9" s="15"/>
      <c r="H9" s="15" t="str">
        <f t="shared" si="0"/>
        <v/>
      </c>
      <c r="I9" s="31"/>
      <c r="J9" s="31"/>
      <c r="K9" s="31"/>
    </row>
    <row r="10" spans="1:11">
      <c r="A10" t="s">
        <v>6</v>
      </c>
      <c r="B10" s="15" t="s">
        <v>99</v>
      </c>
      <c r="C10" s="15" t="s">
        <v>146</v>
      </c>
      <c r="D10" s="15">
        <v>1405</v>
      </c>
      <c r="E10" s="15" t="s">
        <v>233</v>
      </c>
      <c r="F10" s="15">
        <v>100</v>
      </c>
      <c r="G10" s="15"/>
      <c r="H10" s="15" t="str">
        <f t="shared" si="0"/>
        <v/>
      </c>
      <c r="I10" s="31"/>
      <c r="J10" s="31"/>
      <c r="K10" s="31"/>
    </row>
    <row r="11" spans="1:11">
      <c r="A11" t="s">
        <v>6</v>
      </c>
      <c r="B11" s="15" t="s">
        <v>99</v>
      </c>
      <c r="C11" s="15" t="s">
        <v>146</v>
      </c>
      <c r="D11" s="15">
        <v>1405</v>
      </c>
      <c r="E11" s="15" t="s">
        <v>234</v>
      </c>
      <c r="F11" s="15">
        <v>100</v>
      </c>
      <c r="G11" s="15"/>
      <c r="H11" s="15" t="str">
        <f t="shared" si="0"/>
        <v/>
      </c>
      <c r="I11" s="31"/>
      <c r="J11" s="31"/>
      <c r="K11" s="31"/>
    </row>
    <row r="12" spans="1:11">
      <c r="A12" t="s">
        <v>6</v>
      </c>
      <c r="B12" s="15" t="s">
        <v>105</v>
      </c>
      <c r="C12" s="15" t="s">
        <v>148</v>
      </c>
      <c r="D12" s="15">
        <v>1405</v>
      </c>
      <c r="E12" s="15" t="s">
        <v>225</v>
      </c>
      <c r="F12" s="15">
        <v>5</v>
      </c>
      <c r="G12" s="15">
        <v>6</v>
      </c>
      <c r="H12" s="15">
        <f t="shared" si="0"/>
        <v>1</v>
      </c>
      <c r="I12" s="31"/>
      <c r="J12" s="31"/>
      <c r="K12" s="31"/>
    </row>
    <row r="13" spans="1:11">
      <c r="A13" t="s">
        <v>6</v>
      </c>
      <c r="B13" s="15" t="s">
        <v>105</v>
      </c>
      <c r="C13" s="15" t="s">
        <v>148</v>
      </c>
      <c r="D13" s="15">
        <v>1405</v>
      </c>
      <c r="E13" s="15" t="s">
        <v>226</v>
      </c>
      <c r="F13" s="15">
        <v>20</v>
      </c>
      <c r="G13" s="15"/>
      <c r="H13" s="15" t="str">
        <f t="shared" si="0"/>
        <v/>
      </c>
      <c r="I13" s="31"/>
      <c r="J13" s="31"/>
      <c r="K13" s="31"/>
    </row>
    <row r="14" spans="1:11">
      <c r="A14" t="s">
        <v>6</v>
      </c>
      <c r="B14" s="15" t="s">
        <v>105</v>
      </c>
      <c r="C14" s="15" t="s">
        <v>148</v>
      </c>
      <c r="D14" s="15">
        <v>1405</v>
      </c>
      <c r="E14" s="15" t="s">
        <v>227</v>
      </c>
      <c r="F14" s="15">
        <v>30</v>
      </c>
      <c r="G14" s="15"/>
      <c r="H14" s="15" t="str">
        <f t="shared" si="0"/>
        <v/>
      </c>
      <c r="I14" s="31"/>
      <c r="J14" s="31"/>
      <c r="K14" s="31"/>
    </row>
    <row r="15" spans="1:11">
      <c r="A15" t="s">
        <v>6</v>
      </c>
      <c r="B15" s="15" t="s">
        <v>105</v>
      </c>
      <c r="C15" s="15" t="s">
        <v>148</v>
      </c>
      <c r="D15" s="15">
        <v>1405</v>
      </c>
      <c r="E15" s="15" t="s">
        <v>228</v>
      </c>
      <c r="F15" s="15">
        <v>40</v>
      </c>
      <c r="G15" s="15"/>
      <c r="H15" s="15" t="str">
        <f t="shared" si="0"/>
        <v/>
      </c>
      <c r="I15" s="31"/>
      <c r="J15" s="31"/>
      <c r="K15" s="31"/>
    </row>
    <row r="16" spans="1:11">
      <c r="A16" t="s">
        <v>6</v>
      </c>
      <c r="B16" s="15" t="s">
        <v>105</v>
      </c>
      <c r="C16" s="15" t="s">
        <v>148</v>
      </c>
      <c r="D16" s="15">
        <v>1405</v>
      </c>
      <c r="E16" s="15" t="s">
        <v>227</v>
      </c>
      <c r="F16" s="15">
        <v>50</v>
      </c>
      <c r="G16" s="15"/>
      <c r="H16" s="15" t="str">
        <f t="shared" si="0"/>
        <v/>
      </c>
      <c r="I16" s="31"/>
      <c r="J16" s="31"/>
      <c r="K16" s="31"/>
    </row>
    <row r="17" spans="1:11">
      <c r="A17" t="s">
        <v>6</v>
      </c>
      <c r="B17" s="15" t="s">
        <v>105</v>
      </c>
      <c r="C17" s="15" t="s">
        <v>148</v>
      </c>
      <c r="D17" s="15">
        <v>1405</v>
      </c>
      <c r="E17" s="15" t="s">
        <v>230</v>
      </c>
      <c r="F17" s="15">
        <v>60</v>
      </c>
      <c r="G17" s="15"/>
      <c r="H17" s="15" t="str">
        <f t="shared" si="0"/>
        <v/>
      </c>
      <c r="I17" s="31"/>
      <c r="J17" s="31"/>
      <c r="K17" s="31"/>
    </row>
    <row r="18" spans="1:11">
      <c r="A18" t="s">
        <v>6</v>
      </c>
      <c r="B18" s="15" t="s">
        <v>105</v>
      </c>
      <c r="C18" s="15" t="s">
        <v>148</v>
      </c>
      <c r="D18" s="15">
        <v>1405</v>
      </c>
      <c r="E18" s="15" t="s">
        <v>231</v>
      </c>
      <c r="F18" s="15">
        <v>70</v>
      </c>
      <c r="G18" s="15"/>
      <c r="H18" s="15" t="str">
        <f t="shared" si="0"/>
        <v/>
      </c>
      <c r="I18" s="31"/>
      <c r="J18" s="31"/>
      <c r="K18" s="31"/>
    </row>
    <row r="19" spans="1:11">
      <c r="A19" t="s">
        <v>6</v>
      </c>
      <c r="B19" s="15" t="s">
        <v>105</v>
      </c>
      <c r="C19" s="15" t="s">
        <v>148</v>
      </c>
      <c r="D19" s="15">
        <v>1405</v>
      </c>
      <c r="E19" s="15" t="s">
        <v>232</v>
      </c>
      <c r="F19" s="15">
        <v>80</v>
      </c>
      <c r="G19" s="15"/>
      <c r="H19" s="15" t="str">
        <f t="shared" si="0"/>
        <v/>
      </c>
      <c r="I19" s="31"/>
      <c r="J19" s="31"/>
      <c r="K19" s="31"/>
    </row>
    <row r="20" spans="1:11">
      <c r="A20" t="s">
        <v>6</v>
      </c>
      <c r="B20" s="15" t="s">
        <v>105</v>
      </c>
      <c r="C20" s="15" t="s">
        <v>148</v>
      </c>
      <c r="D20" s="15">
        <v>1405</v>
      </c>
      <c r="E20" s="15" t="s">
        <v>233</v>
      </c>
      <c r="F20" s="15">
        <v>90</v>
      </c>
      <c r="G20" s="15"/>
      <c r="H20" s="15" t="str">
        <f t="shared" si="0"/>
        <v/>
      </c>
      <c r="I20" s="31"/>
      <c r="J20" s="31"/>
      <c r="K20" s="31"/>
    </row>
    <row r="21" spans="1:11">
      <c r="A21" t="s">
        <v>6</v>
      </c>
      <c r="B21" s="15" t="s">
        <v>105</v>
      </c>
      <c r="C21" s="15" t="s">
        <v>148</v>
      </c>
      <c r="D21" s="15">
        <v>1405</v>
      </c>
      <c r="E21" s="15" t="s">
        <v>234</v>
      </c>
      <c r="F21" s="15">
        <v>100</v>
      </c>
      <c r="G21" s="15"/>
      <c r="H21" s="15" t="str">
        <f t="shared" si="0"/>
        <v/>
      </c>
      <c r="I21" s="31"/>
      <c r="J21" s="31"/>
      <c r="K21" s="31"/>
    </row>
    <row r="22" spans="1:11">
      <c r="A22" t="s">
        <v>6</v>
      </c>
      <c r="B22" s="15" t="s">
        <v>123</v>
      </c>
      <c r="C22" s="15" t="s">
        <v>150</v>
      </c>
      <c r="D22" s="15">
        <v>1405</v>
      </c>
      <c r="E22" s="15" t="s">
        <v>225</v>
      </c>
      <c r="F22" s="15">
        <v>5</v>
      </c>
      <c r="G22" s="15"/>
      <c r="H22" s="15" t="str">
        <f t="shared" si="0"/>
        <v/>
      </c>
      <c r="I22" s="31"/>
      <c r="J22" s="31"/>
      <c r="K22" s="31"/>
    </row>
    <row r="23" spans="1:11">
      <c r="A23" t="s">
        <v>6</v>
      </c>
      <c r="B23" s="15" t="s">
        <v>123</v>
      </c>
      <c r="C23" s="15" t="s">
        <v>150</v>
      </c>
      <c r="D23" s="15">
        <v>1405</v>
      </c>
      <c r="E23" s="15" t="s">
        <v>226</v>
      </c>
      <c r="F23" s="15">
        <v>20</v>
      </c>
      <c r="G23" s="15"/>
      <c r="H23" s="15" t="str">
        <f t="shared" si="0"/>
        <v/>
      </c>
      <c r="I23" s="31"/>
      <c r="J23" s="31"/>
      <c r="K23" s="31"/>
    </row>
    <row r="24" spans="1:11">
      <c r="A24" t="s">
        <v>6</v>
      </c>
      <c r="B24" s="15" t="s">
        <v>123</v>
      </c>
      <c r="C24" s="15" t="s">
        <v>150</v>
      </c>
      <c r="D24" s="15">
        <v>1405</v>
      </c>
      <c r="E24" s="15" t="s">
        <v>227</v>
      </c>
      <c r="F24" s="15">
        <v>30</v>
      </c>
      <c r="G24" s="15"/>
      <c r="H24" s="15" t="str">
        <f t="shared" si="0"/>
        <v/>
      </c>
      <c r="I24" s="31"/>
      <c r="J24" s="31"/>
      <c r="K24" s="31"/>
    </row>
    <row r="25" spans="1:11">
      <c r="A25" t="s">
        <v>6</v>
      </c>
      <c r="B25" s="15" t="s">
        <v>123</v>
      </c>
      <c r="C25" s="15" t="s">
        <v>150</v>
      </c>
      <c r="D25" s="15">
        <v>1405</v>
      </c>
      <c r="E25" s="15" t="s">
        <v>228</v>
      </c>
      <c r="F25" s="15">
        <v>40</v>
      </c>
      <c r="G25" s="15"/>
      <c r="H25" s="15" t="str">
        <f t="shared" si="0"/>
        <v/>
      </c>
      <c r="I25" s="31"/>
      <c r="J25" s="31"/>
      <c r="K25" s="31"/>
    </row>
    <row r="26" spans="1:11">
      <c r="A26" t="s">
        <v>6</v>
      </c>
      <c r="B26" s="15" t="s">
        <v>123</v>
      </c>
      <c r="C26" s="15" t="s">
        <v>150</v>
      </c>
      <c r="D26" s="15">
        <v>1405</v>
      </c>
      <c r="E26" s="15" t="s">
        <v>227</v>
      </c>
      <c r="F26" s="15">
        <v>50</v>
      </c>
      <c r="G26" s="15"/>
      <c r="H26" s="15" t="str">
        <f t="shared" si="0"/>
        <v/>
      </c>
      <c r="I26" s="31"/>
      <c r="J26" s="31"/>
      <c r="K26" s="31"/>
    </row>
    <row r="27" spans="1:11">
      <c r="A27" t="s">
        <v>6</v>
      </c>
      <c r="B27" s="15" t="s">
        <v>123</v>
      </c>
      <c r="C27" s="15" t="s">
        <v>150</v>
      </c>
      <c r="D27" s="15">
        <v>1405</v>
      </c>
      <c r="E27" s="15" t="s">
        <v>230</v>
      </c>
      <c r="F27" s="15">
        <v>60</v>
      </c>
      <c r="G27" s="15"/>
      <c r="H27" s="15" t="str">
        <f t="shared" si="0"/>
        <v/>
      </c>
      <c r="I27" s="31"/>
      <c r="J27" s="31"/>
      <c r="K27" s="31"/>
    </row>
    <row r="28" spans="1:11">
      <c r="A28" t="s">
        <v>6</v>
      </c>
      <c r="B28" s="15" t="s">
        <v>123</v>
      </c>
      <c r="C28" s="15" t="s">
        <v>150</v>
      </c>
      <c r="D28" s="15">
        <v>1405</v>
      </c>
      <c r="E28" s="15" t="s">
        <v>231</v>
      </c>
      <c r="F28" s="15">
        <v>70</v>
      </c>
      <c r="G28" s="15"/>
      <c r="H28" s="15" t="str">
        <f t="shared" si="0"/>
        <v/>
      </c>
      <c r="I28" s="31"/>
      <c r="J28" s="31"/>
      <c r="K28" s="31"/>
    </row>
    <row r="29" spans="1:11">
      <c r="A29" t="s">
        <v>6</v>
      </c>
      <c r="B29" s="15" t="s">
        <v>123</v>
      </c>
      <c r="C29" s="15" t="s">
        <v>150</v>
      </c>
      <c r="D29" s="15">
        <v>1405</v>
      </c>
      <c r="E29" s="15" t="s">
        <v>232</v>
      </c>
      <c r="F29" s="15">
        <v>80</v>
      </c>
      <c r="G29" s="15"/>
      <c r="H29" s="15" t="str">
        <f t="shared" si="0"/>
        <v/>
      </c>
      <c r="I29" s="31"/>
      <c r="J29" s="31"/>
      <c r="K29" s="31"/>
    </row>
    <row r="30" spans="1:11">
      <c r="A30" t="s">
        <v>6</v>
      </c>
      <c r="B30" s="15" t="s">
        <v>123</v>
      </c>
      <c r="C30" s="15" t="s">
        <v>150</v>
      </c>
      <c r="D30" s="15">
        <v>1405</v>
      </c>
      <c r="E30" s="15" t="s">
        <v>233</v>
      </c>
      <c r="F30" s="15">
        <v>90</v>
      </c>
      <c r="G30" s="15"/>
      <c r="H30" s="15" t="str">
        <f t="shared" si="0"/>
        <v/>
      </c>
      <c r="I30" s="31"/>
      <c r="J30" s="31"/>
      <c r="K30" s="31"/>
    </row>
    <row r="31" spans="1:11">
      <c r="A31" t="s">
        <v>6</v>
      </c>
      <c r="B31" s="15" t="s">
        <v>123</v>
      </c>
      <c r="C31" s="15" t="s">
        <v>150</v>
      </c>
      <c r="D31" s="15">
        <v>1405</v>
      </c>
      <c r="E31" s="15" t="s">
        <v>234</v>
      </c>
      <c r="F31" s="15">
        <v>100</v>
      </c>
      <c r="G31" s="15"/>
      <c r="H31" s="15" t="str">
        <f t="shared" si="0"/>
        <v/>
      </c>
      <c r="I31" s="31"/>
      <c r="J31" s="31"/>
      <c r="K31" s="31"/>
    </row>
    <row r="32" spans="1:11">
      <c r="A32" t="s">
        <v>6</v>
      </c>
      <c r="B32" s="15" t="s">
        <v>128</v>
      </c>
      <c r="C32" s="15" t="s">
        <v>152</v>
      </c>
      <c r="D32" s="15">
        <v>1405</v>
      </c>
      <c r="E32" s="15" t="s">
        <v>226</v>
      </c>
      <c r="F32" s="15">
        <v>1</v>
      </c>
      <c r="G32" s="15"/>
      <c r="H32" s="15" t="str">
        <f t="shared" si="0"/>
        <v/>
      </c>
      <c r="I32" s="31"/>
      <c r="J32" s="31"/>
      <c r="K32" s="31"/>
    </row>
    <row r="33" spans="1:11">
      <c r="A33" t="s">
        <v>6</v>
      </c>
      <c r="B33" s="15" t="s">
        <v>128</v>
      </c>
      <c r="C33" s="15" t="s">
        <v>152</v>
      </c>
      <c r="D33" s="15">
        <v>1405</v>
      </c>
      <c r="E33" s="15" t="s">
        <v>227</v>
      </c>
      <c r="F33" s="15">
        <v>20</v>
      </c>
      <c r="G33" s="15"/>
      <c r="H33" s="15" t="str">
        <f t="shared" si="0"/>
        <v/>
      </c>
      <c r="I33" s="31"/>
      <c r="J33" s="31"/>
      <c r="K33" s="31"/>
    </row>
    <row r="34" spans="1:11">
      <c r="A34" t="s">
        <v>6</v>
      </c>
      <c r="B34" s="15" t="s">
        <v>128</v>
      </c>
      <c r="C34" s="15" t="s">
        <v>152</v>
      </c>
      <c r="D34" s="15">
        <v>1405</v>
      </c>
      <c r="E34" s="15" t="s">
        <v>228</v>
      </c>
      <c r="F34" s="15">
        <v>30</v>
      </c>
      <c r="G34" s="15"/>
      <c r="H34" s="15" t="str">
        <f t="shared" si="0"/>
        <v/>
      </c>
      <c r="I34" s="31"/>
      <c r="J34" s="31"/>
      <c r="K34" s="31"/>
    </row>
    <row r="35" spans="1:11">
      <c r="A35" t="s">
        <v>6</v>
      </c>
      <c r="B35" s="15" t="s">
        <v>128</v>
      </c>
      <c r="C35" s="15" t="s">
        <v>152</v>
      </c>
      <c r="D35" s="15">
        <v>1405</v>
      </c>
      <c r="E35" s="15" t="s">
        <v>227</v>
      </c>
      <c r="F35" s="15">
        <v>40</v>
      </c>
      <c r="G35" s="15"/>
      <c r="H35" s="15" t="str">
        <f t="shared" si="0"/>
        <v/>
      </c>
      <c r="I35" s="31"/>
      <c r="J35" s="31"/>
      <c r="K35" s="31"/>
    </row>
    <row r="36" spans="1:11">
      <c r="A36" t="s">
        <v>6</v>
      </c>
      <c r="B36" s="15" t="s">
        <v>128</v>
      </c>
      <c r="C36" s="15" t="s">
        <v>152</v>
      </c>
      <c r="D36" s="15">
        <v>1405</v>
      </c>
      <c r="E36" s="15" t="s">
        <v>230</v>
      </c>
      <c r="F36" s="15">
        <v>50</v>
      </c>
      <c r="G36" s="15"/>
      <c r="H36" s="15" t="str">
        <f t="shared" si="0"/>
        <v/>
      </c>
      <c r="I36" s="31"/>
      <c r="J36" s="31"/>
      <c r="K36" s="31"/>
    </row>
    <row r="37" spans="1:11">
      <c r="A37" t="s">
        <v>6</v>
      </c>
      <c r="B37" s="15" t="s">
        <v>128</v>
      </c>
      <c r="C37" s="15" t="s">
        <v>152</v>
      </c>
      <c r="D37" s="15">
        <v>1405</v>
      </c>
      <c r="E37" s="15" t="s">
        <v>231</v>
      </c>
      <c r="F37" s="15">
        <v>65</v>
      </c>
      <c r="G37" s="15"/>
      <c r="H37" s="15" t="str">
        <f t="shared" si="0"/>
        <v/>
      </c>
      <c r="I37" s="31"/>
      <c r="J37" s="31"/>
      <c r="K37" s="31"/>
    </row>
    <row r="38" spans="1:11">
      <c r="A38" t="s">
        <v>6</v>
      </c>
      <c r="B38" s="15" t="s">
        <v>128</v>
      </c>
      <c r="C38" s="15" t="s">
        <v>152</v>
      </c>
      <c r="D38" s="15">
        <v>1405</v>
      </c>
      <c r="E38" s="15" t="s">
        <v>232</v>
      </c>
      <c r="F38" s="15">
        <v>80</v>
      </c>
      <c r="G38" s="15"/>
      <c r="H38" s="15" t="str">
        <f t="shared" si="0"/>
        <v/>
      </c>
      <c r="I38" s="31"/>
      <c r="J38" s="31"/>
      <c r="K38" s="31"/>
    </row>
    <row r="39" spans="1:11">
      <c r="A39" t="s">
        <v>6</v>
      </c>
      <c r="B39" s="15" t="s">
        <v>128</v>
      </c>
      <c r="C39" s="15" t="s">
        <v>152</v>
      </c>
      <c r="D39" s="15">
        <v>1405</v>
      </c>
      <c r="E39" s="15" t="s">
        <v>233</v>
      </c>
      <c r="F39" s="15">
        <v>90</v>
      </c>
      <c r="G39" s="15"/>
      <c r="H39" s="15" t="str">
        <f t="shared" si="0"/>
        <v/>
      </c>
      <c r="I39" s="31"/>
      <c r="J39" s="31"/>
      <c r="K39" s="31"/>
    </row>
    <row r="40" spans="1:11">
      <c r="A40" t="s">
        <v>6</v>
      </c>
      <c r="B40" s="15" t="s">
        <v>128</v>
      </c>
      <c r="C40" s="15" t="s">
        <v>152</v>
      </c>
      <c r="D40" s="15">
        <v>1405</v>
      </c>
      <c r="E40" s="15" t="s">
        <v>234</v>
      </c>
      <c r="F40" s="15">
        <v>100</v>
      </c>
      <c r="G40" s="15"/>
      <c r="H40" s="15" t="str">
        <f t="shared" si="0"/>
        <v/>
      </c>
      <c r="I40" s="31"/>
      <c r="J40" s="31"/>
      <c r="K40" s="31"/>
    </row>
  </sheetData>
  <conditionalFormatting sqref="A1">
    <cfRule type="duplicateValues" dxfId="16" priority="1"/>
    <cfRule type="duplicateValues" dxfId="15" priority="2"/>
  </conditionalFormatting>
  <conditionalFormatting sqref="B1:K1">
    <cfRule type="duplicateValues" dxfId="14" priority="31"/>
    <cfRule type="duplicateValues" dxfId="13" priority="32"/>
  </conditionalFormatting>
  <conditionalFormatting sqref="H2:H40">
    <cfRule type="expression" dxfId="12" priority="3">
      <formula>H2&lt;0</formula>
    </cfRule>
  </conditionalFormatting>
  <dataValidations count="2">
    <dataValidation type="list" allowBlank="1" showInputMessage="1" showErrorMessage="1" sqref="E2:E1048576" xr:uid="{929DB638-BACC-46E5-BD55-7BF38A95CB44}">
      <formula1>"فروردین ,اردیبهشت ,خرداد ,تیر ,مرداد ,شهریور ,مهر ,آبان ,آذر ,دی ,بهمن ,اسفند"</formula1>
    </dataValidation>
    <dataValidation type="list" sqref="I2:I40" xr:uid="{5ABB51DD-8D84-4AC2-808B-EB02E7EC48D3}">
      <formula1>"شروع نشده,در حال اجرا,متوقف,تکمیل شده"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EB1A77D-EEE0-4BDC-B8FE-4FFD0371F841}">
          <x14:formula1>
            <xm:f>'کسب و کار'!$B:$B</xm:f>
          </x14:formula1>
          <xm:sqref>B2:B1048576</xm:sqref>
        </x14:dataValidation>
        <x14:dataValidation type="list" allowBlank="1" showInputMessage="1" showErrorMessage="1" xr:uid="{C47034B4-E2E8-4746-BE3D-D8CCCEC9688B}">
          <x14:formula1>
            <xm:f>پروژه!$B:$B</xm:f>
          </x14:formula1>
          <xm:sqref>C2:C1048576</xm:sqref>
        </x14:dataValidation>
        <x14:dataValidation type="list" allowBlank="1" showInputMessage="1" showErrorMessage="1" xr:uid="{C15E722F-E587-4BF6-8255-B86E4D689F29}">
          <x14:formula1>
            <xm:f>'واحد تجاری'!$A:$A</xm:f>
          </x14:formula1>
          <xm:sqref>A2:A1048576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2A9E6-4A69-47F2-8854-F3F6EFA2470C}">
  <dimension ref="A1:I34"/>
  <sheetViews>
    <sheetView rightToLeft="1" topLeftCell="B1" workbookViewId="0">
      <selection sqref="A1:A1048576"/>
    </sheetView>
  </sheetViews>
  <sheetFormatPr defaultRowHeight="14.4"/>
  <cols>
    <col min="1" max="1" width="18.109375" customWidth="1"/>
    <col min="2" max="2" width="28.44140625" customWidth="1"/>
    <col min="3" max="3" width="30.5546875" customWidth="1"/>
    <col min="5" max="5" width="27.88671875" customWidth="1"/>
    <col min="6" max="6" width="30.21875" customWidth="1"/>
    <col min="7" max="7" width="18.109375" customWidth="1"/>
    <col min="8" max="8" width="19.88671875" customWidth="1"/>
    <col min="9" max="9" width="60" customWidth="1"/>
  </cols>
  <sheetData>
    <row r="1" spans="1:9" ht="17.399999999999999">
      <c r="A1" s="23" t="s">
        <v>66</v>
      </c>
      <c r="B1" s="23" t="s">
        <v>7</v>
      </c>
      <c r="C1" s="23" t="s">
        <v>2</v>
      </c>
      <c r="D1" s="23" t="s">
        <v>34</v>
      </c>
      <c r="E1" s="23" t="s">
        <v>35</v>
      </c>
      <c r="F1" s="23" t="s">
        <v>69</v>
      </c>
      <c r="G1" s="23" t="s">
        <v>70</v>
      </c>
      <c r="H1" s="23" t="s">
        <v>71</v>
      </c>
      <c r="I1" s="23" t="s">
        <v>72</v>
      </c>
    </row>
    <row r="2" spans="1:9" ht="22.8">
      <c r="A2" t="s">
        <v>6</v>
      </c>
      <c r="B2" t="s">
        <v>99</v>
      </c>
      <c r="C2" s="15" t="s">
        <v>146</v>
      </c>
      <c r="D2" s="15">
        <v>1405</v>
      </c>
      <c r="E2" s="15" t="s">
        <v>225</v>
      </c>
      <c r="F2" s="15" t="s">
        <v>205</v>
      </c>
    </row>
    <row r="3" spans="1:9" ht="22.8">
      <c r="A3" t="s">
        <v>6</v>
      </c>
      <c r="B3" t="s">
        <v>99</v>
      </c>
      <c r="C3" s="15" t="s">
        <v>146</v>
      </c>
      <c r="D3" s="15">
        <v>1405</v>
      </c>
      <c r="E3" s="15" t="s">
        <v>226</v>
      </c>
      <c r="F3" s="15" t="s">
        <v>206</v>
      </c>
    </row>
    <row r="4" spans="1:9" ht="22.8">
      <c r="A4" t="s">
        <v>6</v>
      </c>
      <c r="B4" t="s">
        <v>99</v>
      </c>
      <c r="C4" s="15" t="s">
        <v>146</v>
      </c>
      <c r="D4" s="15">
        <v>1405</v>
      </c>
      <c r="E4" s="15" t="s">
        <v>227</v>
      </c>
      <c r="F4" s="15" t="s">
        <v>207</v>
      </c>
    </row>
    <row r="5" spans="1:9" ht="22.8">
      <c r="A5" t="s">
        <v>6</v>
      </c>
      <c r="B5" t="s">
        <v>99</v>
      </c>
      <c r="C5" s="15" t="s">
        <v>146</v>
      </c>
      <c r="D5" s="15">
        <v>1405</v>
      </c>
      <c r="E5" s="15" t="s">
        <v>228</v>
      </c>
      <c r="F5" s="15" t="s">
        <v>208</v>
      </c>
    </row>
    <row r="6" spans="1:9" ht="22.8">
      <c r="A6" t="s">
        <v>6</v>
      </c>
      <c r="B6" t="s">
        <v>99</v>
      </c>
      <c r="C6" s="15" t="s">
        <v>146</v>
      </c>
      <c r="D6" s="15">
        <v>1405</v>
      </c>
      <c r="E6" s="15" t="s">
        <v>229</v>
      </c>
      <c r="F6" s="15" t="s">
        <v>208</v>
      </c>
    </row>
    <row r="7" spans="1:9" ht="22.8">
      <c r="A7" t="s">
        <v>6</v>
      </c>
      <c r="B7" t="s">
        <v>99</v>
      </c>
      <c r="C7" s="15" t="s">
        <v>146</v>
      </c>
      <c r="D7" s="15">
        <v>1405</v>
      </c>
      <c r="E7" s="15" t="s">
        <v>230</v>
      </c>
      <c r="F7" s="15" t="s">
        <v>208</v>
      </c>
    </row>
    <row r="8" spans="1:9" ht="22.8">
      <c r="A8" t="s">
        <v>6</v>
      </c>
      <c r="B8" t="s">
        <v>99</v>
      </c>
      <c r="C8" s="15" t="s">
        <v>146</v>
      </c>
      <c r="D8" s="15">
        <v>1405</v>
      </c>
      <c r="E8" s="15" t="s">
        <v>231</v>
      </c>
      <c r="F8" s="15" t="s">
        <v>208</v>
      </c>
    </row>
    <row r="9" spans="1:9" ht="22.8">
      <c r="A9" t="s">
        <v>6</v>
      </c>
      <c r="B9" t="s">
        <v>99</v>
      </c>
      <c r="C9" s="15" t="s">
        <v>146</v>
      </c>
      <c r="D9" s="15">
        <v>1405</v>
      </c>
      <c r="E9" s="15" t="s">
        <v>232</v>
      </c>
      <c r="F9" s="15" t="s">
        <v>208</v>
      </c>
    </row>
    <row r="10" spans="1:9" ht="22.8">
      <c r="A10" t="s">
        <v>6</v>
      </c>
      <c r="B10" t="s">
        <v>99</v>
      </c>
      <c r="C10" s="15" t="s">
        <v>146</v>
      </c>
      <c r="D10" s="15">
        <v>1405</v>
      </c>
      <c r="E10" s="15" t="s">
        <v>233</v>
      </c>
      <c r="F10" s="15" t="s">
        <v>208</v>
      </c>
    </row>
    <row r="11" spans="1:9" ht="22.8">
      <c r="A11" t="s">
        <v>6</v>
      </c>
      <c r="B11" t="s">
        <v>99</v>
      </c>
      <c r="C11" s="15" t="s">
        <v>146</v>
      </c>
      <c r="D11" s="15">
        <v>1405</v>
      </c>
      <c r="E11" s="15" t="s">
        <v>234</v>
      </c>
      <c r="F11" s="15" t="s">
        <v>208</v>
      </c>
    </row>
    <row r="12" spans="1:9">
      <c r="A12" t="s">
        <v>6</v>
      </c>
      <c r="B12" t="s">
        <v>105</v>
      </c>
      <c r="C12" s="15" t="s">
        <v>148</v>
      </c>
      <c r="D12" s="15">
        <v>1405</v>
      </c>
      <c r="E12" s="15" t="s">
        <v>225</v>
      </c>
      <c r="F12" s="15" t="s">
        <v>209</v>
      </c>
    </row>
    <row r="13" spans="1:9">
      <c r="A13" t="s">
        <v>6</v>
      </c>
      <c r="B13" t="s">
        <v>105</v>
      </c>
      <c r="C13" s="15" t="s">
        <v>148</v>
      </c>
      <c r="D13" s="15">
        <v>1405</v>
      </c>
      <c r="E13" s="15" t="s">
        <v>226</v>
      </c>
      <c r="F13" s="15" t="s">
        <v>210</v>
      </c>
    </row>
    <row r="14" spans="1:9">
      <c r="A14" t="s">
        <v>6</v>
      </c>
      <c r="B14" t="s">
        <v>105</v>
      </c>
      <c r="C14" s="15" t="s">
        <v>148</v>
      </c>
      <c r="D14" s="15">
        <v>1405</v>
      </c>
      <c r="E14" s="15" t="s">
        <v>227</v>
      </c>
      <c r="F14" s="15" t="s">
        <v>211</v>
      </c>
    </row>
    <row r="15" spans="1:9">
      <c r="A15" t="s">
        <v>6</v>
      </c>
      <c r="B15" t="s">
        <v>105</v>
      </c>
      <c r="C15" s="15" t="s">
        <v>148</v>
      </c>
      <c r="D15" s="15">
        <v>1405</v>
      </c>
      <c r="E15" s="15" t="s">
        <v>228</v>
      </c>
      <c r="F15" s="15" t="s">
        <v>212</v>
      </c>
    </row>
    <row r="16" spans="1:9">
      <c r="A16" t="s">
        <v>6</v>
      </c>
      <c r="B16" t="s">
        <v>105</v>
      </c>
      <c r="C16" s="15" t="s">
        <v>148</v>
      </c>
      <c r="D16" s="15">
        <v>1405</v>
      </c>
      <c r="E16" s="15" t="s">
        <v>229</v>
      </c>
      <c r="F16" s="15" t="s">
        <v>212</v>
      </c>
    </row>
    <row r="17" spans="1:6">
      <c r="A17" t="s">
        <v>6</v>
      </c>
      <c r="B17" t="s">
        <v>105</v>
      </c>
      <c r="C17" s="15" t="s">
        <v>148</v>
      </c>
      <c r="D17" s="15">
        <v>1405</v>
      </c>
      <c r="E17" s="15" t="s">
        <v>230</v>
      </c>
      <c r="F17" s="15" t="s">
        <v>213</v>
      </c>
    </row>
    <row r="18" spans="1:6" ht="22.8">
      <c r="A18" t="s">
        <v>6</v>
      </c>
      <c r="B18" t="s">
        <v>105</v>
      </c>
      <c r="C18" s="15" t="s">
        <v>148</v>
      </c>
      <c r="D18" s="15">
        <v>1405</v>
      </c>
      <c r="E18" s="15" t="s">
        <v>231</v>
      </c>
      <c r="F18" s="15" t="s">
        <v>214</v>
      </c>
    </row>
    <row r="19" spans="1:6">
      <c r="A19" t="s">
        <v>6</v>
      </c>
      <c r="B19" t="s">
        <v>105</v>
      </c>
      <c r="C19" s="15" t="s">
        <v>148</v>
      </c>
      <c r="D19" s="15">
        <v>1405</v>
      </c>
      <c r="E19" s="15" t="s">
        <v>232</v>
      </c>
      <c r="F19" s="15" t="s">
        <v>215</v>
      </c>
    </row>
    <row r="20" spans="1:6">
      <c r="A20" t="s">
        <v>6</v>
      </c>
      <c r="B20" t="s">
        <v>105</v>
      </c>
      <c r="C20" s="15" t="s">
        <v>148</v>
      </c>
      <c r="D20" s="15">
        <v>1405</v>
      </c>
      <c r="E20" s="15" t="s">
        <v>233</v>
      </c>
      <c r="F20" s="15" t="s">
        <v>215</v>
      </c>
    </row>
    <row r="21" spans="1:6">
      <c r="A21" t="s">
        <v>6</v>
      </c>
      <c r="B21" t="s">
        <v>105</v>
      </c>
      <c r="C21" s="15" t="s">
        <v>148</v>
      </c>
      <c r="D21" s="15">
        <v>1405</v>
      </c>
      <c r="E21" s="15" t="s">
        <v>234</v>
      </c>
      <c r="F21" s="15" t="s">
        <v>215</v>
      </c>
    </row>
    <row r="22" spans="1:6">
      <c r="A22" t="s">
        <v>6</v>
      </c>
      <c r="B22" t="s">
        <v>123</v>
      </c>
      <c r="C22" s="15" t="s">
        <v>150</v>
      </c>
      <c r="D22" s="15">
        <v>1405</v>
      </c>
      <c r="E22" s="15" t="s">
        <v>225</v>
      </c>
      <c r="F22" s="15" t="s">
        <v>209</v>
      </c>
    </row>
    <row r="23" spans="1:6">
      <c r="A23" t="s">
        <v>6</v>
      </c>
      <c r="B23" t="s">
        <v>123</v>
      </c>
      <c r="C23" s="15" t="s">
        <v>150</v>
      </c>
      <c r="D23" s="15">
        <v>1405</v>
      </c>
      <c r="E23" s="15" t="s">
        <v>226</v>
      </c>
      <c r="F23" s="15" t="s">
        <v>210</v>
      </c>
    </row>
    <row r="24" spans="1:6" ht="22.8">
      <c r="A24" t="s">
        <v>6</v>
      </c>
      <c r="B24" t="s">
        <v>123</v>
      </c>
      <c r="C24" s="15" t="s">
        <v>150</v>
      </c>
      <c r="D24" s="15">
        <v>1405</v>
      </c>
      <c r="E24" s="15" t="s">
        <v>227</v>
      </c>
      <c r="F24" s="15" t="s">
        <v>216</v>
      </c>
    </row>
    <row r="25" spans="1:6">
      <c r="A25" t="s">
        <v>6</v>
      </c>
      <c r="B25" t="s">
        <v>123</v>
      </c>
      <c r="C25" s="15" t="s">
        <v>150</v>
      </c>
      <c r="D25" s="15">
        <v>1405</v>
      </c>
      <c r="E25" s="15" t="s">
        <v>231</v>
      </c>
      <c r="F25" s="15" t="s">
        <v>217</v>
      </c>
    </row>
    <row r="26" spans="1:6">
      <c r="A26" t="s">
        <v>6</v>
      </c>
      <c r="B26" t="s">
        <v>123</v>
      </c>
      <c r="C26" s="15" t="s">
        <v>150</v>
      </c>
      <c r="D26" s="15">
        <v>1405</v>
      </c>
      <c r="E26" s="15" t="s">
        <v>232</v>
      </c>
      <c r="F26" s="15" t="s">
        <v>218</v>
      </c>
    </row>
    <row r="27" spans="1:6">
      <c r="A27" t="s">
        <v>6</v>
      </c>
      <c r="B27" t="s">
        <v>123</v>
      </c>
      <c r="C27" s="15" t="s">
        <v>150</v>
      </c>
      <c r="D27" s="15">
        <v>1405</v>
      </c>
      <c r="E27" s="15" t="s">
        <v>233</v>
      </c>
      <c r="F27" s="15" t="s">
        <v>219</v>
      </c>
    </row>
    <row r="28" spans="1:6">
      <c r="A28" t="s">
        <v>6</v>
      </c>
      <c r="B28" t="s">
        <v>123</v>
      </c>
      <c r="C28" s="15" t="s">
        <v>150</v>
      </c>
      <c r="D28" s="15">
        <v>1405</v>
      </c>
      <c r="E28" s="15" t="s">
        <v>234</v>
      </c>
      <c r="F28" s="15" t="s">
        <v>219</v>
      </c>
    </row>
    <row r="29" spans="1:6">
      <c r="A29" t="s">
        <v>6</v>
      </c>
      <c r="B29" t="s">
        <v>128</v>
      </c>
      <c r="C29" s="15" t="s">
        <v>152</v>
      </c>
      <c r="D29" s="15">
        <v>1405</v>
      </c>
      <c r="E29" s="15" t="s">
        <v>226</v>
      </c>
      <c r="F29" s="15" t="s">
        <v>220</v>
      </c>
    </row>
    <row r="30" spans="1:6" ht="22.8">
      <c r="A30" t="s">
        <v>6</v>
      </c>
      <c r="B30" t="s">
        <v>128</v>
      </c>
      <c r="C30" s="15" t="s">
        <v>152</v>
      </c>
      <c r="D30" s="15">
        <v>1405</v>
      </c>
      <c r="E30" s="15" t="s">
        <v>227</v>
      </c>
      <c r="F30" s="15" t="s">
        <v>216</v>
      </c>
    </row>
    <row r="31" spans="1:6">
      <c r="A31" t="s">
        <v>6</v>
      </c>
      <c r="B31" t="s">
        <v>128</v>
      </c>
      <c r="C31" s="15" t="s">
        <v>152</v>
      </c>
      <c r="D31" s="15">
        <v>1405</v>
      </c>
      <c r="E31" s="15" t="s">
        <v>231</v>
      </c>
      <c r="F31" s="15" t="s">
        <v>217</v>
      </c>
    </row>
    <row r="32" spans="1:6">
      <c r="A32" t="s">
        <v>6</v>
      </c>
      <c r="B32" t="s">
        <v>128</v>
      </c>
      <c r="C32" s="15" t="s">
        <v>152</v>
      </c>
      <c r="D32" s="15">
        <v>1405</v>
      </c>
      <c r="E32" s="15" t="s">
        <v>232</v>
      </c>
      <c r="F32" s="15" t="s">
        <v>221</v>
      </c>
    </row>
    <row r="33" spans="1:6">
      <c r="A33" t="s">
        <v>6</v>
      </c>
      <c r="B33" t="s">
        <v>128</v>
      </c>
      <c r="C33" s="15" t="s">
        <v>152</v>
      </c>
      <c r="D33" s="15">
        <v>1405</v>
      </c>
      <c r="E33" s="15" t="s">
        <v>233</v>
      </c>
      <c r="F33" s="15" t="s">
        <v>222</v>
      </c>
    </row>
    <row r="34" spans="1:6">
      <c r="A34" t="s">
        <v>6</v>
      </c>
      <c r="B34" t="s">
        <v>128</v>
      </c>
      <c r="C34" s="15" t="s">
        <v>152</v>
      </c>
      <c r="D34" s="15">
        <v>1405</v>
      </c>
      <c r="E34" s="15" t="s">
        <v>234</v>
      </c>
      <c r="F34" s="15" t="s">
        <v>222</v>
      </c>
    </row>
  </sheetData>
  <conditionalFormatting sqref="A1">
    <cfRule type="duplicateValues" dxfId="11" priority="1"/>
    <cfRule type="duplicateValues" dxfId="10" priority="2"/>
  </conditionalFormatting>
  <conditionalFormatting sqref="B1:I1">
    <cfRule type="duplicateValues" dxfId="9" priority="32"/>
    <cfRule type="duplicateValues" dxfId="8" priority="33"/>
  </conditionalFormatting>
  <dataValidations count="1">
    <dataValidation type="list" allowBlank="1" showInputMessage="1" showErrorMessage="1" sqref="E2:E1048576" xr:uid="{C65CAEFC-11F1-4104-B766-53D68209A14E}">
      <formula1>"فروردین ,اردیبهشت ,خرداد ,تیر ,مرداد ,شهریور ,مهر ,آبان ,آذر ,دی ,بهمن ,اسفند"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01602CE-66D4-4409-A828-C37CD4CFD3FD}">
          <x14:formula1>
            <xm:f>'کسب و کار'!$B:$B</xm:f>
          </x14:formula1>
          <xm:sqref>B2:B1048576</xm:sqref>
        </x14:dataValidation>
        <x14:dataValidation type="list" allowBlank="1" showInputMessage="1" showErrorMessage="1" xr:uid="{97B619E2-8BB0-4283-A287-826572F54D68}">
          <x14:formula1>
            <xm:f>پروژه!$B:$B</xm:f>
          </x14:formula1>
          <xm:sqref>C2:C1048576</xm:sqref>
        </x14:dataValidation>
        <x14:dataValidation type="list" allowBlank="1" showInputMessage="1" showErrorMessage="1" xr:uid="{7F7208CE-9BAA-477D-BC4A-BD25357EB800}">
          <x14:formula1>
            <xm:f>اقدامات!$B:$B</xm:f>
          </x14:formula1>
          <xm:sqref>F2:F1048576</xm:sqref>
        </x14:dataValidation>
        <x14:dataValidation type="list" allowBlank="1" showInputMessage="1" showErrorMessage="1" xr:uid="{4A6E438F-FC86-4C29-84B6-31239FEF7361}">
          <x14:formula1>
            <xm:f>'واحد تجاری'!$A:$A</xm:f>
          </x14:formula1>
          <xm:sqref>A2:A1048576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B4EE7-56EC-440F-972C-7F711636968B}">
  <dimension ref="A1:O2"/>
  <sheetViews>
    <sheetView rightToLeft="1" topLeftCell="C1" workbookViewId="0">
      <selection activeCell="J2" sqref="J2"/>
    </sheetView>
  </sheetViews>
  <sheetFormatPr defaultRowHeight="14.4"/>
  <cols>
    <col min="1" max="1" width="18.109375" customWidth="1"/>
    <col min="2" max="3" width="47.88671875" customWidth="1"/>
    <col min="4" max="4" width="42.88671875" customWidth="1"/>
    <col min="6" max="6" width="18.6640625" customWidth="1"/>
    <col min="7" max="7" width="16.5546875" customWidth="1"/>
    <col min="8" max="8" width="46" customWidth="1"/>
    <col min="9" max="9" width="14.21875" customWidth="1"/>
    <col min="10" max="10" width="48.33203125" customWidth="1"/>
    <col min="11" max="11" width="25" customWidth="1"/>
    <col min="12" max="12" width="14.6640625" customWidth="1"/>
    <col min="13" max="13" width="10.6640625" customWidth="1"/>
    <col min="14" max="14" width="18.44140625" customWidth="1"/>
    <col min="15" max="15" width="42.5546875" customWidth="1"/>
  </cols>
  <sheetData>
    <row r="1" spans="1:15" ht="17.399999999999999">
      <c r="A1" s="23" t="s">
        <v>66</v>
      </c>
      <c r="B1" s="23" t="s">
        <v>7</v>
      </c>
      <c r="C1" s="23" t="s">
        <v>1</v>
      </c>
      <c r="D1" s="23" t="s">
        <v>2</v>
      </c>
      <c r="E1" s="23" t="s">
        <v>34</v>
      </c>
      <c r="F1" s="23" t="s">
        <v>35</v>
      </c>
      <c r="G1" s="23" t="s">
        <v>79</v>
      </c>
      <c r="H1" s="23" t="s">
        <v>80</v>
      </c>
      <c r="I1" s="23" t="s">
        <v>81</v>
      </c>
      <c r="J1" s="23" t="s">
        <v>98</v>
      </c>
      <c r="K1" s="23" t="s">
        <v>82</v>
      </c>
      <c r="L1" s="23" t="s">
        <v>83</v>
      </c>
      <c r="M1" s="23" t="s">
        <v>84</v>
      </c>
      <c r="N1" s="23" t="s">
        <v>71</v>
      </c>
      <c r="O1" s="23" t="s">
        <v>53</v>
      </c>
    </row>
    <row r="2" spans="1:15">
      <c r="A2" t="s">
        <v>6</v>
      </c>
      <c r="B2" t="s">
        <v>105</v>
      </c>
      <c r="D2" t="s">
        <v>148</v>
      </c>
      <c r="E2">
        <v>1405</v>
      </c>
      <c r="F2" t="s">
        <v>225</v>
      </c>
      <c r="H2" t="s">
        <v>251</v>
      </c>
      <c r="J2" t="s">
        <v>212</v>
      </c>
      <c r="N2">
        <v>50</v>
      </c>
    </row>
  </sheetData>
  <conditionalFormatting sqref="A1">
    <cfRule type="duplicateValues" dxfId="7" priority="1"/>
    <cfRule type="duplicateValues" dxfId="6" priority="2"/>
  </conditionalFormatting>
  <conditionalFormatting sqref="B1:O1">
    <cfRule type="duplicateValues" dxfId="5" priority="34"/>
    <cfRule type="duplicateValues" dxfId="4" priority="35"/>
  </conditionalFormatting>
  <dataValidations count="1">
    <dataValidation type="list" allowBlank="1" showInputMessage="1" showErrorMessage="1" sqref="F2:F1048576" xr:uid="{46486143-50C2-4F5C-85B0-B32B2074DF4D}">
      <formula1>"فروردین ,اردیبهشت ,خرداد ,تیر ,مرداد ,شهریور ,مهر ,آبان ,آذر ,دی ,بهمن ,اسفند"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8E3D11E-6C41-46F3-80D4-B4DD583FE112}">
          <x14:formula1>
            <xm:f>'کسب و کار'!$B:$B</xm:f>
          </x14:formula1>
          <xm:sqref>B2:B1048576</xm:sqref>
        </x14:dataValidation>
        <x14:dataValidation type="list" allowBlank="1" showInputMessage="1" showErrorMessage="1" xr:uid="{FDCA5D61-78BB-4F3B-8411-7C4CA6B680EA}">
          <x14:formula1>
            <xm:f>پروژه!$B:$B</xm:f>
          </x14:formula1>
          <xm:sqref>D3:D1048576</xm:sqref>
        </x14:dataValidation>
        <x14:dataValidation type="list" allowBlank="1" showInputMessage="1" showErrorMessage="1" xr:uid="{D7DE3471-3679-4ECF-8C09-5C004622C45B}">
          <x14:formula1>
            <xm:f>برنامه!$B:$B</xm:f>
          </x14:formula1>
          <xm:sqref>C2:C1048576</xm:sqref>
        </x14:dataValidation>
        <x14:dataValidation type="list" allowBlank="1" showInputMessage="1" showErrorMessage="1" xr:uid="{37717716-5BD4-4057-8FA8-AE48DD9CEE01}">
          <x14:formula1>
            <xm:f>'واحد تجاری'!$A:$A</xm:f>
          </x14:formula1>
          <xm:sqref>A2:A1048576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CF014-CB04-41DB-970B-A7EC8A796DB1}">
  <dimension ref="A1:M13"/>
  <sheetViews>
    <sheetView rightToLeft="1" topLeftCell="C1" workbookViewId="0">
      <selection activeCell="A19" sqref="A19"/>
    </sheetView>
  </sheetViews>
  <sheetFormatPr defaultRowHeight="14.4"/>
  <cols>
    <col min="1" max="1" width="18.109375" customWidth="1"/>
    <col min="2" max="2" width="27" customWidth="1"/>
    <col min="3" max="3" width="22.21875" customWidth="1"/>
    <col min="5" max="5" width="20.88671875" customWidth="1"/>
    <col min="6" max="6" width="19" customWidth="1"/>
    <col min="7" max="7" width="24.77734375" customWidth="1"/>
    <col min="8" max="8" width="31.21875" customWidth="1"/>
    <col min="9" max="9" width="22.6640625" customWidth="1"/>
    <col min="10" max="10" width="20.44140625" customWidth="1"/>
    <col min="11" max="11" width="22.77734375" customWidth="1"/>
    <col min="12" max="12" width="9.77734375" customWidth="1"/>
    <col min="13" max="13" width="42.5546875" customWidth="1"/>
  </cols>
  <sheetData>
    <row r="1" spans="1:13" ht="34.799999999999997" customHeight="1">
      <c r="A1" s="23" t="s">
        <v>66</v>
      </c>
      <c r="B1" s="23" t="s">
        <v>85</v>
      </c>
      <c r="C1" s="23" t="s">
        <v>92</v>
      </c>
      <c r="D1" s="23" t="s">
        <v>34</v>
      </c>
      <c r="E1" s="23" t="s">
        <v>35</v>
      </c>
      <c r="F1" s="23" t="s">
        <v>86</v>
      </c>
      <c r="G1" s="23" t="s">
        <v>87</v>
      </c>
      <c r="H1" s="23" t="s">
        <v>88</v>
      </c>
      <c r="I1" s="23" t="s">
        <v>89</v>
      </c>
      <c r="J1" s="23" t="s">
        <v>90</v>
      </c>
      <c r="K1" s="23" t="s">
        <v>91</v>
      </c>
      <c r="L1" s="23" t="s">
        <v>84</v>
      </c>
      <c r="M1" s="23" t="s">
        <v>53</v>
      </c>
    </row>
    <row r="2" spans="1:13">
      <c r="A2" t="s">
        <v>6</v>
      </c>
      <c r="B2" s="15" t="s">
        <v>24</v>
      </c>
      <c r="C2" s="15" t="s">
        <v>252</v>
      </c>
      <c r="D2">
        <v>1405</v>
      </c>
      <c r="E2" t="s">
        <v>223</v>
      </c>
    </row>
    <row r="3" spans="1:13">
      <c r="A3" t="s">
        <v>6</v>
      </c>
      <c r="B3" s="15" t="s">
        <v>24</v>
      </c>
      <c r="C3" s="15" t="s">
        <v>252</v>
      </c>
      <c r="D3">
        <v>1405</v>
      </c>
      <c r="E3" t="s">
        <v>224</v>
      </c>
    </row>
    <row r="4" spans="1:13">
      <c r="A4" t="s">
        <v>6</v>
      </c>
      <c r="B4" s="15" t="s">
        <v>24</v>
      </c>
      <c r="C4" s="15" t="s">
        <v>252</v>
      </c>
      <c r="D4">
        <v>1405</v>
      </c>
      <c r="E4" t="s">
        <v>225</v>
      </c>
    </row>
    <row r="5" spans="1:13">
      <c r="A5" t="s">
        <v>6</v>
      </c>
      <c r="B5" s="15" t="s">
        <v>24</v>
      </c>
      <c r="C5" s="15" t="s">
        <v>252</v>
      </c>
      <c r="D5">
        <v>1405</v>
      </c>
      <c r="E5" t="s">
        <v>226</v>
      </c>
    </row>
    <row r="6" spans="1:13">
      <c r="A6" t="s">
        <v>6</v>
      </c>
      <c r="B6" s="15" t="s">
        <v>24</v>
      </c>
      <c r="C6" s="15" t="s">
        <v>252</v>
      </c>
      <c r="D6">
        <v>1405</v>
      </c>
      <c r="E6" t="s">
        <v>227</v>
      </c>
    </row>
    <row r="7" spans="1:13">
      <c r="A7" t="s">
        <v>6</v>
      </c>
      <c r="B7" s="15" t="s">
        <v>24</v>
      </c>
      <c r="C7" s="15" t="s">
        <v>252</v>
      </c>
      <c r="D7">
        <v>1405</v>
      </c>
      <c r="E7" t="s">
        <v>228</v>
      </c>
    </row>
    <row r="8" spans="1:13">
      <c r="A8" t="s">
        <v>6</v>
      </c>
      <c r="B8" s="15" t="s">
        <v>24</v>
      </c>
      <c r="C8" s="15" t="s">
        <v>252</v>
      </c>
      <c r="D8">
        <v>1405</v>
      </c>
      <c r="E8" t="s">
        <v>229</v>
      </c>
    </row>
    <row r="9" spans="1:13">
      <c r="A9" t="s">
        <v>6</v>
      </c>
      <c r="B9" s="15" t="s">
        <v>24</v>
      </c>
      <c r="C9" s="15" t="s">
        <v>252</v>
      </c>
      <c r="D9">
        <v>1405</v>
      </c>
      <c r="E9" t="s">
        <v>230</v>
      </c>
    </row>
    <row r="10" spans="1:13">
      <c r="A10" t="s">
        <v>6</v>
      </c>
      <c r="B10" s="15" t="s">
        <v>24</v>
      </c>
      <c r="C10" s="15" t="s">
        <v>252</v>
      </c>
      <c r="D10">
        <v>1405</v>
      </c>
      <c r="E10" t="s">
        <v>231</v>
      </c>
    </row>
    <row r="11" spans="1:13">
      <c r="A11" t="s">
        <v>6</v>
      </c>
      <c r="B11" s="15" t="s">
        <v>24</v>
      </c>
      <c r="C11" s="15" t="s">
        <v>252</v>
      </c>
      <c r="D11">
        <v>1405</v>
      </c>
      <c r="E11" t="s">
        <v>232</v>
      </c>
    </row>
    <row r="12" spans="1:13">
      <c r="A12" t="s">
        <v>6</v>
      </c>
      <c r="B12" s="15" t="s">
        <v>24</v>
      </c>
      <c r="C12" s="15" t="s">
        <v>252</v>
      </c>
      <c r="D12">
        <v>1405</v>
      </c>
      <c r="E12" t="s">
        <v>233</v>
      </c>
    </row>
    <row r="13" spans="1:13">
      <c r="A13" t="s">
        <v>6</v>
      </c>
      <c r="B13" s="15" t="s">
        <v>24</v>
      </c>
      <c r="C13" s="15" t="s">
        <v>252</v>
      </c>
      <c r="D13">
        <v>1405</v>
      </c>
      <c r="E13" t="s">
        <v>234</v>
      </c>
    </row>
  </sheetData>
  <conditionalFormatting sqref="A1:M1">
    <cfRule type="duplicateValues" dxfId="3" priority="34"/>
    <cfRule type="duplicateValues" dxfId="2" priority="35"/>
  </conditionalFormatting>
  <dataValidations count="1">
    <dataValidation type="list" allowBlank="1" showInputMessage="1" showErrorMessage="1" sqref="E2:E1048576" xr:uid="{833F1FF6-5C65-4848-842D-314CABEFAA08}">
      <formula1>"فروردین ,اردیبهشت ,خرداد ,تیر ,مرداد ,شهریور ,مهر ,آبان ,آذر ,دی ,بهمن ,اسفند"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4957160-FD54-43D9-9E50-CBADC44B0D63}">
          <x14:formula1>
            <xm:f>'واحد تجاری'!$A:$A</xm:f>
          </x14:formula1>
          <xm:sqref>A2:A1048576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4951D-C489-4F63-98A9-D97AF17475EA}">
  <dimension ref="A1:D8"/>
  <sheetViews>
    <sheetView rightToLeft="1" tabSelected="1" workbookViewId="0">
      <selection activeCell="A14" sqref="A14"/>
    </sheetView>
  </sheetViews>
  <sheetFormatPr defaultRowHeight="14.4"/>
  <cols>
    <col min="1" max="1" width="20" customWidth="1"/>
    <col min="2" max="2" width="41.33203125" customWidth="1"/>
    <col min="3" max="3" width="17.21875" customWidth="1"/>
    <col min="4" max="4" width="64.44140625" customWidth="1"/>
  </cols>
  <sheetData>
    <row r="1" spans="1:4" ht="17.399999999999999">
      <c r="A1" s="23" t="s">
        <v>66</v>
      </c>
      <c r="B1" s="23" t="s">
        <v>95</v>
      </c>
      <c r="C1" s="23" t="s">
        <v>93</v>
      </c>
      <c r="D1" s="23" t="s">
        <v>94</v>
      </c>
    </row>
    <row r="2" spans="1:4">
      <c r="A2" t="s">
        <v>6</v>
      </c>
      <c r="C2" t="s">
        <v>253</v>
      </c>
      <c r="D2" s="15" t="s">
        <v>254</v>
      </c>
    </row>
    <row r="3" spans="1:4">
      <c r="A3" t="s">
        <v>6</v>
      </c>
      <c r="C3" t="s">
        <v>253</v>
      </c>
      <c r="D3" s="15" t="s">
        <v>255</v>
      </c>
    </row>
    <row r="4" spans="1:4">
      <c r="A4" t="s">
        <v>6</v>
      </c>
      <c r="C4" t="s">
        <v>253</v>
      </c>
      <c r="D4" s="15" t="s">
        <v>256</v>
      </c>
    </row>
    <row r="5" spans="1:4">
      <c r="A5" t="s">
        <v>6</v>
      </c>
      <c r="C5" t="s">
        <v>253</v>
      </c>
      <c r="D5" s="15" t="s">
        <v>257</v>
      </c>
    </row>
    <row r="6" spans="1:4">
      <c r="A6" t="s">
        <v>6</v>
      </c>
      <c r="C6" t="s">
        <v>253</v>
      </c>
      <c r="D6" s="15" t="s">
        <v>258</v>
      </c>
    </row>
    <row r="7" spans="1:4">
      <c r="A7" t="s">
        <v>6</v>
      </c>
      <c r="C7" t="s">
        <v>253</v>
      </c>
      <c r="D7" s="15" t="s">
        <v>259</v>
      </c>
    </row>
    <row r="8" spans="1:4">
      <c r="A8" t="s">
        <v>6</v>
      </c>
      <c r="C8" t="s">
        <v>260</v>
      </c>
      <c r="D8" s="15" t="s">
        <v>261</v>
      </c>
    </row>
  </sheetData>
  <conditionalFormatting sqref="A1:D1">
    <cfRule type="duplicateValues" dxfId="1" priority="1"/>
    <cfRule type="duplicateValues" dxfId="0" priority="2"/>
  </conditionalFormatting>
  <dataValidations count="1">
    <dataValidation type="list" allowBlank="1" showInputMessage="1" showErrorMessage="1" sqref="C2:C1048576" xr:uid="{AD52A88B-12EE-43D7-A81F-3A0DAFD957A9}">
      <formula1>"الزام,مفروضه"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BDD6F44-CE08-485C-AEBF-A433AFCF7968}">
          <x14:formula1>
            <xm:f>'واحد تجاری'!$A:$A</xm:f>
          </x14:formula1>
          <xm:sqref>A9:A1048576</xm:sqref>
        </x14:dataValidation>
        <x14:dataValidation type="list" allowBlank="1" showInputMessage="1" showErrorMessage="1" xr:uid="{477E5407-8010-4DA7-B476-11E23B5795E0}">
          <x14:formula1>
            <xm:f>'کسب و کار'!$B:$B</xm:f>
          </x14:formula1>
          <xm:sqref>B9:B1048576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C270BD-644F-491B-BD64-570826DB8C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راهنما</vt:lpstr>
      <vt:lpstr>واحد تجاری</vt:lpstr>
      <vt:lpstr>شاخص کلان</vt:lpstr>
      <vt:lpstr>کسب و کار</vt:lpstr>
      <vt:lpstr>شاخص کلیدی عملکرد(KPI)</vt:lpstr>
      <vt:lpstr>شاخص میانی</vt:lpstr>
      <vt:lpstr>پروژه</vt:lpstr>
      <vt:lpstr>برنامه</vt:lpstr>
      <vt:lpstr>اقدامات</vt:lpstr>
      <vt:lpstr>کسب و کار-شاخص</vt:lpstr>
      <vt:lpstr>کسب و کار - KPI</vt:lpstr>
      <vt:lpstr>کسب و کار-برنامه</vt:lpstr>
      <vt:lpstr>برنامه- اقدامات</vt:lpstr>
      <vt:lpstr>کسب و کار- پروژه </vt:lpstr>
      <vt:lpstr>پروژه - اقدامات</vt:lpstr>
      <vt:lpstr>ریسک_و_اقدامات</vt:lpstr>
      <vt:lpstr>سرمایه‌گذاری</vt:lpstr>
      <vt:lpstr>الزامات_و_مفروضات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elham keyvani</dc:creator>
  <cp:lastModifiedBy>hadi sayar</cp:lastModifiedBy>
  <dcterms:created xsi:type="dcterms:W3CDTF">2015-06-05T18:17:20Z</dcterms:created>
  <dcterms:modified xsi:type="dcterms:W3CDTF">2026-09-13T15:12:13Z</dcterms:modified>
</cp:coreProperties>
</file>