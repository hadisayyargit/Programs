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/>
  <mc:AlternateContent xmlns:mc="http://schemas.openxmlformats.org/markup-compatibility/2006">
    <mc:Choice Requires="x15">
      <x15ac:absPath xmlns:x15ac="http://schemas.microsoft.com/office/spreadsheetml/2010/11/ac" url="C:\Users\Sayyar.Hadi\Downloads\"/>
    </mc:Choice>
  </mc:AlternateContent>
  <xr:revisionPtr revIDLastSave="0" documentId="13_ncr:1_{DF8EEB6C-F4D8-468E-9960-FB31D1CF68C9}" xr6:coauthVersionLast="47" xr6:coauthVersionMax="47" xr10:uidLastSave="{00000000-0000-0000-0000-000000000000}"/>
  <bookViews>
    <workbookView xWindow="28680" yWindow="-285" windowWidth="24240" windowHeight="13140" tabRatio="731" activeTab="5" xr2:uid="{00000000-000D-0000-FFFF-FFFF00000000}"/>
  </bookViews>
  <sheets>
    <sheet name="میانگین District" sheetId="16" r:id="rId1"/>
    <sheet name="بیشینه اضافه کاری فروشگاهها" sheetId="14" r:id="rId2"/>
    <sheet name="بیشینه اضافه کاری انبارها" sheetId="13" r:id="rId3"/>
    <sheet name="میانگین انبارها" sheetId="17" r:id="rId4"/>
    <sheet name="میانگین سمت ها" sheetId="18" r:id="rId5"/>
    <sheet name="بیشینه اضافه کاری ستادها" sheetId="5" r:id="rId6"/>
  </sheets>
  <externalReferences>
    <externalReference r:id="rId7"/>
  </externalReferences>
  <definedNames>
    <definedName name="_xlnm._FilterDatabase" localSheetId="2" hidden="1">'بیشینه اضافه کاری انبارها'!$B$1:$G$1</definedName>
    <definedName name="_xlnm._FilterDatabase" localSheetId="5" hidden="1">'بیشینه اضافه کاری ستادها'!#REF!</definedName>
    <definedName name="_xlnm._FilterDatabase" localSheetId="1" hidden="1">'بیشینه اضافه کاری فروشگاهها'!$B$1:$G$1</definedName>
    <definedName name="_xlnm._FilterDatabase" localSheetId="0" hidden="1">'میانگین District'!$A$2:$O$43</definedName>
    <definedName name="_xlnm._FilterDatabase" localSheetId="3" hidden="1">'میانگین انبارها'!$A$1:$E$41</definedName>
    <definedName name="_xlnm._FilterDatabase" localSheetId="4" hidden="1">'میانگین سمت ها'!$A$1:$E$42</definedName>
    <definedName name="CategoriesExpense">{"room &amp; board";"tuition &amp; fees";"books &amp; supplies";"transportation";"discretionary";"other expenses"}</definedName>
    <definedName name="CategoriesIncome">{"financial aid";"wages (after-tax)";"family help";"from savings";"other"}</definedName>
    <definedName name="FirstMonth" localSheetId="2">UPPER(TEXT('بیشینه اضافه کاری انبارها'!StartDate,"mmm "))</definedName>
    <definedName name="FirstMonth" localSheetId="5">UPPER(TEXT('بیشینه اضافه کاری ستادها'!StartDate,"mmm "))</definedName>
    <definedName name="FirstMonth" localSheetId="1">UPPER(TEXT('بیشینه اضافه کاری فروشگاهها'!StartDate,"mmm "))</definedName>
    <definedName name="FirstMonth" localSheetId="0">UPPER(TEXT('میانگین District'!StartDate,"mmm "))</definedName>
    <definedName name="FirstMonth" localSheetId="3">UPPER(TEXT('میانگین انبارها'!StartDate,"mmm "))</definedName>
    <definedName name="FirstMonth" localSheetId="4">UPPER(TEXT('میانگین سمت ها'!StartDate,"mmm "))</definedName>
    <definedName name="FirstMonth">UPPER(TEXT(StartDate,"mmm "))</definedName>
    <definedName name="income_percent_selected_period" localSheetId="2">'بیشینه اضافه کاری انبارها'!#REF!</definedName>
    <definedName name="income_percent_selected_period" localSheetId="1">'بیشینه اضافه کاری فروشگاهها'!#REF!</definedName>
    <definedName name="income_percent_selected_period" localSheetId="0">'میانگین District'!#REF!</definedName>
    <definedName name="income_percent_selected_period" localSheetId="3">'میانگین انبارها'!#REF!</definedName>
    <definedName name="income_percent_selected_period" localSheetId="4">'میانگین سمت ها'!#REF!</definedName>
    <definedName name="income_percent_selected_period">'بیشینه اضافه کاری ستادها'!#REF!</definedName>
    <definedName name="NextMonth" localSheetId="2">UPPER(TEXT(EOMONTH(VALUE('بیشینه اضافه کاری انبارها'!XFD1 &amp; "1"),0)+1,"mmm "))</definedName>
    <definedName name="NextMonth" localSheetId="5">UPPER(TEXT(EOMONTH(VALUE('بیشینه اضافه کاری ستادها'!XFD1 &amp; "1"),0)+1,"mmm "))</definedName>
    <definedName name="NextMonth" localSheetId="1">UPPER(TEXT(EOMONTH(VALUE('بیشینه اضافه کاری فروشگاهها'!XFD1 &amp; "1"),0)+1,"mmm "))</definedName>
    <definedName name="NextMonth" localSheetId="0">UPPER(TEXT(EOMONTH(VALUE('میانگین District'!XFD1 &amp; "1"),0)+1,"mmm "))</definedName>
    <definedName name="NextMonth" localSheetId="3">UPPER(TEXT(EOMONTH(VALUE('میانگین انبارها'!XFD1 &amp; "1"),0)+1,"mmm "))</definedName>
    <definedName name="NextMonth" localSheetId="4">UPPER(TEXT(EOMONTH(VALUE('میانگین سمت ها'!XFD1 &amp; "1"),0)+1,"mmm "))</definedName>
    <definedName name="NextMonth">UPPER(TEXT(EOMONTH(VALUE(#REF! &amp; "1"),0)+1,"mmm "))</definedName>
    <definedName name="PercentsExpense" localSheetId="2">'بیشینه اضافه کاری انبارها'!#REF!,'بیشینه اضافه کاری انبارها'!#REF!,'بیشینه اضافه کاری انبارها'!#REF!,'بیشینه اضافه کاری انبارها'!#REF!,'بیشینه اضافه کاری انبارها'!#REF!,'بیشینه اضافه کاری انبارها'!#REF!</definedName>
    <definedName name="PercentsExpense" localSheetId="1">'بیشینه اضافه کاری فروشگاهها'!#REF!,'بیشینه اضافه کاری فروشگاهها'!#REF!,'بیشینه اضافه کاری فروشگاهها'!#REF!,'بیشینه اضافه کاری فروشگاهها'!#REF!,'بیشینه اضافه کاری فروشگاهها'!#REF!,'بیشینه اضافه کاری فروشگاهها'!#REF!</definedName>
    <definedName name="PercentsExpense" localSheetId="0">'میانگین District'!#REF!,'میانگین District'!#REF!,'میانگین District'!#REF!,'میانگین District'!#REF!,'میانگین District'!#REF!,'میانگین District'!#REF!</definedName>
    <definedName name="PercentsExpense" localSheetId="3">'میانگین انبارها'!#REF!,'میانگین انبارها'!#REF!,'میانگین انبارها'!#REF!,'میانگین انبارها'!#REF!,'میانگین انبارها'!#REF!,'میانگین انبارها'!#REF!</definedName>
    <definedName name="PercentsExpense" localSheetId="4">'میانگین سمت ها'!#REF!,'میانگین سمت ها'!#REF!,'میانگین سمت ها'!#REF!,'میانگین سمت ها'!#REF!,'میانگین سمت ها'!#REF!,'میانگین سمت ها'!#REF!</definedName>
    <definedName name="PercentsExpense">'بیشینه اضافه کاری ستادها'!#REF!,'بیشینه اضافه کاری ستادها'!#REF!,'بیشینه اضافه کاری ستادها'!#REF!,'بیشینه اضافه کاری ستادها'!#REF!,'بیشینه اضافه کاری ستادها'!#REF!,'بیشینه اضافه کاری ستادها'!#REF!</definedName>
    <definedName name="PercentsIncome" localSheetId="2">'بیشینه اضافه کاری انبارها'!#REF!</definedName>
    <definedName name="PercentsIncome" localSheetId="1">'بیشینه اضافه کاری فروشگاهها'!#REF!</definedName>
    <definedName name="PercentsIncome" localSheetId="0">'میانگین District'!#REF!</definedName>
    <definedName name="PercentsIncome" localSheetId="3">'میانگین انبارها'!#REF!</definedName>
    <definedName name="PercentsIncome" localSheetId="4">'میانگین سمت ها'!#REF!</definedName>
    <definedName name="PercentsIncome">'بیشینه اضافه کاری ستادها'!#REF!</definedName>
    <definedName name="Periods" localSheetId="2">'بیشینه اضافه کاری انبارها'!#REF!</definedName>
    <definedName name="Periods" localSheetId="5">'بیشینه اضافه کاری ستادها'!#REF!</definedName>
    <definedName name="Periods" localSheetId="1">'بیشینه اضافه کاری فروشگاهها'!#REF!</definedName>
    <definedName name="Periods" localSheetId="0">'میانگین District'!#REF!</definedName>
    <definedName name="Periods" localSheetId="3">'میانگین انبارها'!#REF!</definedName>
    <definedName name="Periods" localSheetId="4">'میانگین سمت ها'!#REF!</definedName>
    <definedName name="Periods">#REF!</definedName>
    <definedName name="ScrollBarValue">[1]chart_calcs!$D$13</definedName>
    <definedName name="SelectedPeriod" localSheetId="2">INDEX('بیشینه اضافه کاری انبارها'!Periods,,[0]!ScrollBarValue)</definedName>
    <definedName name="SelectedPeriod" localSheetId="5">INDEX('بیشینه اضافه کاری ستادها'!Periods,,ScrollBarValue)</definedName>
    <definedName name="SelectedPeriod" localSheetId="1">INDEX('بیشینه اضافه کاری فروشگاهها'!Periods,,[0]!ScrollBarValue)</definedName>
    <definedName name="SelectedPeriod" localSheetId="0">INDEX('میانگین District'!Periods,,[0]!ScrollBarValue)</definedName>
    <definedName name="SelectedPeriod" localSheetId="3">INDEX('میانگین انبارها'!Periods,,[0]!ScrollBarValue)</definedName>
    <definedName name="SelectedPeriod" localSheetId="4">INDEX('میانگین سمت ها'!Periods,,[0]!ScrollBarValue)</definedName>
    <definedName name="SelectedPeriod">INDEX(Periods,,ScrollBarValue)</definedName>
    <definedName name="SelectedPeriodCashFlowNegative" localSheetId="2">INDEX('بیشینه اضافه کاری انبارها'!#REF!,,'بیشینه اضافه کاری انبارها'!SelectedPeriodColumn) * NOT('بیشینه اضافه کاری انبارها'!SelectedPeriodIsFunded)</definedName>
    <definedName name="SelectedPeriodCashFlowNegative" localSheetId="1">INDEX('بیشینه اضافه کاری فروشگاهها'!#REF!,,'بیشینه اضافه کاری فروشگاهها'!SelectedPeriodColumn) * NOT('بیشینه اضافه کاری فروشگاهها'!SelectedPeriodIsFunded)</definedName>
    <definedName name="SelectedPeriodCashFlowNegative" localSheetId="0">INDEX('میانگین District'!#REF!,,'میانگین District'!SelectedPeriodColumn) * NOT('میانگین District'!SelectedPeriodIsFunded)</definedName>
    <definedName name="SelectedPeriodCashFlowNegative" localSheetId="3">INDEX('میانگین انبارها'!#REF!,,'میانگین انبارها'!SelectedPeriodColumn) * NOT('میانگین انبارها'!SelectedPeriodIsFunded)</definedName>
    <definedName name="SelectedPeriodCashFlowNegative" localSheetId="4">INDEX('میانگین سمت ها'!#REF!,,'میانگین سمت ها'!SelectedPeriodColumn) * NOT('میانگین سمت ها'!SelectedPeriodIsFunded)</definedName>
    <definedName name="SelectedPeriodCashFlowNegative">INDEX('بیشینه اضافه کاری ستادها'!#REF!,,'بیشینه اضافه کاری ستادها'!SelectedPeriodColumn) * NOT(SelectedPeriodIsFunded)</definedName>
    <definedName name="SelectedPeriodCashFlowNegative_Mirror" localSheetId="2">CHOOSE({1,2,3},0,'بیشینه اضافه کاری انبارها'!SelectedPeriodCashFlowNegative,-(MAX(ABS('بیشینه اضافه کاری انبارها'!SelectedPeriodCashFlowNegative),'بیشینه اضافه کاری انبارها'!SelectedPeriodCashFlowPositive)))</definedName>
    <definedName name="SelectedPeriodCashFlowNegative_Mirror" localSheetId="1">CHOOSE({1,2,3},0,'بیشینه اضافه کاری فروشگاهها'!SelectedPeriodCashFlowNegative,-(MAX(ABS('بیشینه اضافه کاری فروشگاهها'!SelectedPeriodCashFlowNegative),'بیشینه اضافه کاری فروشگاهها'!SelectedPeriodCashFlowPositive)))</definedName>
    <definedName name="SelectedPeriodCashFlowNegative_Mirror" localSheetId="0">CHOOSE({1,2,3},0,'میانگین District'!SelectedPeriodCashFlowNegative,-(MAX(ABS('میانگین District'!SelectedPeriodCashFlowNegative),'میانگین District'!SelectedPeriodCashFlowPositive)))</definedName>
    <definedName name="SelectedPeriodCashFlowNegative_Mirror" localSheetId="3">CHOOSE({1,2,3},0,'میانگین انبارها'!SelectedPeriodCashFlowNegative,-(MAX(ABS('میانگین انبارها'!SelectedPeriodCashFlowNegative),'میانگین انبارها'!SelectedPeriodCashFlowPositive)))</definedName>
    <definedName name="SelectedPeriodCashFlowNegative_Mirror" localSheetId="4">CHOOSE({1,2,3},0,'میانگین سمت ها'!SelectedPeriodCashFlowNegative,-(MAX(ABS('میانگین سمت ها'!SelectedPeriodCashFlowNegative),'میانگین سمت ها'!SelectedPeriodCashFlowPositive)))</definedName>
    <definedName name="SelectedPeriodCashFlowNegative_Mirror">CHOOSE({1,2,3},0,SelectedPeriodCashFlowNegative,-(MAX(ABS(SelectedPeriodCashFlowNegative),SelectedPeriodCashFlowPositive)))</definedName>
    <definedName name="SelectedPeriodCashFlowPositive" localSheetId="2">INDEX('بیشینه اضافه کاری انبارها'!#REF!,,'بیشینه اضافه کاری انبارها'!SelectedPeriodColumn) * 'بیشینه اضافه کاری انبارها'!SelectedPeriodIsFunded</definedName>
    <definedName name="SelectedPeriodCashFlowPositive" localSheetId="1">INDEX('بیشینه اضافه کاری فروشگاهها'!#REF!,,'بیشینه اضافه کاری فروشگاهها'!SelectedPeriodColumn) * 'بیشینه اضافه کاری فروشگاهها'!SelectedPeriodIsFunded</definedName>
    <definedName name="SelectedPeriodCashFlowPositive" localSheetId="0">INDEX('میانگین District'!#REF!,,'میانگین District'!SelectedPeriodColumn) * 'میانگین District'!SelectedPeriodIsFunded</definedName>
    <definedName name="SelectedPeriodCashFlowPositive" localSheetId="3">INDEX('میانگین انبارها'!#REF!,,'میانگین انبارها'!SelectedPeriodColumn) * 'میانگین انبارها'!SelectedPeriodIsFunded</definedName>
    <definedName name="SelectedPeriodCashFlowPositive" localSheetId="4">INDEX('میانگین سمت ها'!#REF!,,'میانگین سمت ها'!SelectedPeriodColumn) * 'میانگین سمت ها'!SelectedPeriodIsFunded</definedName>
    <definedName name="SelectedPeriodCashFlowPositive">INDEX('بیشینه اضافه کاری ستادها'!#REF!,,'بیشینه اضافه کاری ستادها'!SelectedPeriodColumn) * SelectedPeriodIsFunded</definedName>
    <definedName name="SelectedPeriodCashFlowPositive_Mirror" localSheetId="2">CHOOSE({1,2,3},0,'بیشینه اضافه کاری انبارها'!SelectedPeriodCashFlowPositive,(MAX(ABS('بیشینه اضافه کاری انبارها'!SelectedPeriodCashFlowNegative),'بیشینه اضافه کاری انبارها'!SelectedPeriodCashFlowPositive)))</definedName>
    <definedName name="SelectedPeriodCashFlowPositive_Mirror" localSheetId="1">CHOOSE({1,2,3},0,'بیشینه اضافه کاری فروشگاهها'!SelectedPeriodCashFlowPositive,(MAX(ABS('بیشینه اضافه کاری فروشگاهها'!SelectedPeriodCashFlowNegative),'بیشینه اضافه کاری فروشگاهها'!SelectedPeriodCashFlowPositive)))</definedName>
    <definedName name="SelectedPeriodCashFlowPositive_Mirror" localSheetId="0">CHOOSE({1,2,3},0,'میانگین District'!SelectedPeriodCashFlowPositive,(MAX(ABS('میانگین District'!SelectedPeriodCashFlowNegative),'میانگین District'!SelectedPeriodCashFlowPositive)))</definedName>
    <definedName name="SelectedPeriodCashFlowPositive_Mirror" localSheetId="3">CHOOSE({1,2,3},0,'میانگین انبارها'!SelectedPeriodCashFlowPositive,(MAX(ABS('میانگین انبارها'!SelectedPeriodCashFlowNegative),'میانگین انبارها'!SelectedPeriodCashFlowPositive)))</definedName>
    <definedName name="SelectedPeriodCashFlowPositive_Mirror" localSheetId="4">CHOOSE({1,2,3},0,'میانگین سمت ها'!SelectedPeriodCashFlowPositive,(MAX(ABS('میانگین سمت ها'!SelectedPeriodCashFlowNegative),'میانگین سمت ها'!SelectedPeriodCashFlowPositive)))</definedName>
    <definedName name="SelectedPeriodCashFlowPositive_Mirror">CHOOSE({1,2,3},0,SelectedPeriodCashFlowPositive,(MAX(ABS(SelectedPeriodCashFlowNegative),SelectedPeriodCashFlowPositive)))</definedName>
    <definedName name="SelectedPeriodColumn" localSheetId="2">MATCH('بیشینه اضافه کاری انبارها'!SelectedPeriod,'بیشینه اضافه کاری انبارها'!Periods,0)</definedName>
    <definedName name="SelectedPeriodColumn" localSheetId="5">MATCH('بیشینه اضافه کاری ستادها'!SelectedPeriod,'بیشینه اضافه کاری ستادها'!Periods,0)</definedName>
    <definedName name="SelectedPeriodColumn" localSheetId="1">MATCH('بیشینه اضافه کاری فروشگاهها'!SelectedPeriod,'بیشینه اضافه کاری فروشگاهها'!Periods,0)</definedName>
    <definedName name="SelectedPeriodColumn" localSheetId="0">MATCH('میانگین District'!SelectedPeriod,'میانگین District'!Periods,0)</definedName>
    <definedName name="SelectedPeriodColumn" localSheetId="3">MATCH('میانگین انبارها'!SelectedPeriod,'میانگین انبارها'!Periods,0)</definedName>
    <definedName name="SelectedPeriodColumn" localSheetId="4">MATCH('میانگین سمت ها'!SelectedPeriod,'میانگین سمت ها'!Periods,0)</definedName>
    <definedName name="SelectedPeriodColumn">MATCH(SelectedPeriod,Periods,0)</definedName>
    <definedName name="SelectedPeriodIsFunded" localSheetId="2">INDEX('بیشینه اضافه کاری انبارها'!$B$7:$G$7,,'بیشینه اضافه کاری انبارها'!SelectedPeriodColumn)&gt;=INDEX('بیشینه اضافه کاری انبارها'!#REF!,,'بیشینه اضافه کاری انبارها'!SelectedPeriodColumn)</definedName>
    <definedName name="SelectedPeriodIsFunded" localSheetId="1">INDEX('بیشینه اضافه کاری فروشگاهها'!$B$7:$G$7,,'بیشینه اضافه کاری فروشگاهها'!SelectedPeriodColumn)&gt;=INDEX('بیشینه اضافه کاری فروشگاهها'!#REF!,,'بیشینه اضافه کاری فروشگاهها'!SelectedPeriodColumn)</definedName>
    <definedName name="SelectedPeriodIsFunded" localSheetId="0">INDEX('میانگین District'!#REF!,,'میانگین District'!SelectedPeriodColumn)&gt;=INDEX('میانگین District'!#REF!,,'میانگین District'!SelectedPeriodColumn)</definedName>
    <definedName name="SelectedPeriodIsFunded" localSheetId="3">INDEX('میانگین انبارها'!#REF!,,'میانگین انبارها'!SelectedPeriodColumn)&gt;=INDEX('میانگین انبارها'!#REF!,,'میانگین انبارها'!SelectedPeriodColumn)</definedName>
    <definedName name="SelectedPeriodIsFunded" localSheetId="4">INDEX('میانگین سمت ها'!#REF!,,'میانگین سمت ها'!SelectedPeriodColumn)&gt;=INDEX('میانگین سمت ها'!#REF!,,'میانگین سمت ها'!SelectedPeriodColumn)</definedName>
    <definedName name="SelectedPeriodIsFunded">INDEX('بیشینه اضافه کاری ستادها'!$B$7:$G$7,,'بیشینه اضافه کاری ستادها'!SelectedPeriodColumn)&gt;=INDEX('بیشینه اضافه کاری ستادها'!#REF!,,'بیشینه اضافه کاری ستادها'!SelectedPeriodColumn)</definedName>
    <definedName name="SelectedStartMonth" localSheetId="2">'بیشینه اضافه کاری انبارها'!#REF!</definedName>
    <definedName name="SelectedStartMonth" localSheetId="5">'بیشینه اضافه کاری ستادها'!#REF!</definedName>
    <definedName name="SelectedStartMonth" localSheetId="1">'بیشینه اضافه کاری فروشگاهها'!#REF!</definedName>
    <definedName name="SelectedStartMonth" localSheetId="0">'میانگین District'!#REF!</definedName>
    <definedName name="SelectedStartMonth" localSheetId="3">'میانگین انبارها'!#REF!</definedName>
    <definedName name="SelectedStartMonth" localSheetId="4">'میانگین سمت ها'!#REF!</definedName>
    <definedName name="SelectedStartMonth">#REF!</definedName>
    <definedName name="StartDate" localSheetId="2">DATEVALUE('بیشینه اضافه کاری انبارها'!SelectedStartMonth &amp;  "1, " &amp; YEAR(TODAY()))</definedName>
    <definedName name="StartDate" localSheetId="5">DATEVALUE('بیشینه اضافه کاری ستادها'!SelectedStartMonth &amp;  "1, " &amp; YEAR(TODAY()))</definedName>
    <definedName name="StartDate" localSheetId="1">DATEVALUE('بیشینه اضافه کاری فروشگاهها'!SelectedStartMonth &amp;  "1, " &amp; YEAR(TODAY()))</definedName>
    <definedName name="StartDate" localSheetId="0">DATEVALUE('میانگین District'!SelectedStartMonth &amp;  "1, " &amp; YEAR(TODAY()))</definedName>
    <definedName name="StartDate" localSheetId="3">DATEVALUE('میانگین انبارها'!SelectedStartMonth &amp;  "1, " &amp; YEAR(TODAY()))</definedName>
    <definedName name="StartDate" localSheetId="4">DATEVALUE('میانگین سمت ها'!SelectedStartMonth &amp;  "1, " &amp; YEAR(TODAY()))</definedName>
    <definedName name="StartDate">DATEVALUE(SelectedStartMonth &amp;  "1, " &amp; YEAR(TODAY()))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44" i="16" l="1"/>
  <c r="I44" i="16"/>
  <c r="H44" i="16"/>
  <c r="G44" i="16"/>
  <c r="C44" i="16"/>
  <c r="B44" i="1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Gholami, Mohammad (OK)</author>
  </authors>
  <commentList>
    <comment ref="D2" authorId="0" shapeId="0" xr:uid="{BD331304-FAD8-47CF-A5D0-D602DAC07E59}">
      <text>
        <r>
          <rPr>
            <b/>
            <sz val="9"/>
            <color indexed="81"/>
            <rFont val="Tahoma"/>
          </rPr>
          <t>Gholami, Mohammad (OK):</t>
        </r>
        <r>
          <rPr>
            <sz val="9"/>
            <color indexed="81"/>
            <rFont val="Tahoma"/>
          </rPr>
          <t xml:space="preserve">
اضافه کاری</t>
        </r>
      </text>
    </comment>
    <comment ref="E2" authorId="0" shapeId="0" xr:uid="{8E0135A2-373E-4AAE-A0C0-59EA68713030}">
      <text>
        <r>
          <rPr>
            <b/>
            <sz val="9"/>
            <color indexed="81"/>
            <rFont val="Tahoma"/>
          </rPr>
          <t>Gholami, Mohammad (OK):</t>
        </r>
        <r>
          <rPr>
            <sz val="9"/>
            <color indexed="81"/>
            <rFont val="Tahoma"/>
          </rPr>
          <t xml:space="preserve">
 کسر کار
</t>
        </r>
      </text>
    </comment>
    <comment ref="F2" authorId="0" shapeId="0" xr:uid="{0E8F698E-F307-40E5-9ECE-14606E1C89BA}">
      <text>
        <r>
          <rPr>
            <b/>
            <sz val="9"/>
            <color indexed="81"/>
            <rFont val="Tahoma"/>
          </rPr>
          <t>Gholami, Mohammad (OK):</t>
        </r>
        <r>
          <rPr>
            <sz val="9"/>
            <color indexed="81"/>
            <rFont val="Tahoma"/>
          </rPr>
          <t xml:space="preserve">
مرخصی</t>
        </r>
      </text>
    </comment>
    <comment ref="G2" authorId="0" shapeId="0" xr:uid="{3CBDC8F8-D058-4BD5-9E63-BAAF1733C7F3}">
      <text>
        <r>
          <rPr>
            <b/>
            <sz val="9"/>
            <color indexed="81"/>
            <rFont val="Tahoma"/>
          </rPr>
          <t>Gholami, Mohammad (OK):</t>
        </r>
        <r>
          <rPr>
            <sz val="9"/>
            <color indexed="81"/>
            <rFont val="Tahoma"/>
          </rPr>
          <t xml:space="preserve">
مازاد پرسنل</t>
        </r>
      </text>
    </comment>
    <comment ref="H2" authorId="0" shapeId="0" xr:uid="{DCA87378-B763-4E7D-A8A5-6BB82112AF4D}">
      <text>
        <r>
          <rPr>
            <b/>
            <sz val="9"/>
            <color indexed="81"/>
            <rFont val="Tahoma"/>
          </rPr>
          <t>Gholami, Mohammad (OK):</t>
        </r>
        <r>
          <rPr>
            <sz val="9"/>
            <color indexed="81"/>
            <rFont val="Tahoma"/>
          </rPr>
          <t xml:space="preserve">
کمبود پرسنل</t>
        </r>
      </text>
    </comment>
  </commentList>
</comments>
</file>

<file path=xl/sharedStrings.xml><?xml version="1.0" encoding="utf-8"?>
<sst xmlns="http://schemas.openxmlformats.org/spreadsheetml/2006/main" count="766" uniqueCount="548">
  <si>
    <t>مديريت مستقل استان سيستان و بلوچستان</t>
  </si>
  <si>
    <t>معاونت اجرائي منطقه شش</t>
  </si>
  <si>
    <t>Equipment</t>
  </si>
  <si>
    <t>Supply Chain - Inventory Auditing</t>
  </si>
  <si>
    <t>معاونت اجرائي منطقه سه</t>
  </si>
  <si>
    <t>مديريت مستقل استان تهران - ج</t>
  </si>
  <si>
    <t>ICT</t>
  </si>
  <si>
    <t>Legal</t>
  </si>
  <si>
    <t>مسئول فروش استان اصفهان - کد 1</t>
  </si>
  <si>
    <t>واحد فني و تعميرات استان تهران - ج</t>
  </si>
  <si>
    <t>مديريت پشتيباني منطقه سه</t>
  </si>
  <si>
    <t>عمليات فروش منطقه چهار - کد 1</t>
  </si>
  <si>
    <t>سرپرستي فروش استان اصفهان - کد 9</t>
  </si>
  <si>
    <t>Improve Store Operations -  Supervision of Standards and Disciplinary Matters</t>
  </si>
  <si>
    <t>سرپرستي فروش منطقه شش - کد 12</t>
  </si>
  <si>
    <t>ICT - Network and Communication</t>
  </si>
  <si>
    <t>سرپرستي نگهداري و تعميرات منطقه يازده</t>
  </si>
  <si>
    <t>سرپرستي فناوري اطلاعات منطقه شش</t>
  </si>
  <si>
    <t>توسعه فروش استان تهران - ج</t>
  </si>
  <si>
    <t>سرپرستي فروش آذربايجان شرقي - کد 14</t>
  </si>
  <si>
    <t>عمليات فروش منطقه شش - کد 2</t>
  </si>
  <si>
    <t>ICT - Services and Hardware</t>
  </si>
  <si>
    <t>توسعه فروش فروشگاههاي منطقه تهران - ب</t>
  </si>
  <si>
    <t>Legal - Claims</t>
  </si>
  <si>
    <t>مديريت مستقل استان کرمان</t>
  </si>
  <si>
    <t>محمد علي دهنوي</t>
  </si>
  <si>
    <t>Head of Equipment - Sale of surplus property</t>
  </si>
  <si>
    <t>Equipment - Sale of Surplus Property</t>
  </si>
  <si>
    <t>رضا بيگلري</t>
  </si>
  <si>
    <t>Legal Expert</t>
  </si>
  <si>
    <t xml:space="preserve">حميدرضا  بيگ احمدي </t>
  </si>
  <si>
    <t>کاردان فناوري اطلاعات</t>
  </si>
  <si>
    <t>فناوري اطلاعات فروشگاههاي منطقه تهران - الف</t>
  </si>
  <si>
    <t>پيمان سلحشوري ده چلي</t>
  </si>
  <si>
    <t>مسئول فناوري اطلاعات</t>
  </si>
  <si>
    <t>مديريت مستقل استان تهران - الف</t>
  </si>
  <si>
    <t xml:space="preserve">نادر رحيم زادهء محلهء </t>
  </si>
  <si>
    <t>مدير پشتيباني</t>
  </si>
  <si>
    <t>معين فروشگاه</t>
  </si>
  <si>
    <t>سرپرستي فروش فروشگاههاي استان تهران ج - کد1</t>
  </si>
  <si>
    <t>سوپروايزر</t>
  </si>
  <si>
    <t>حسين مينوئي فر</t>
  </si>
  <si>
    <t>Financial Expert</t>
  </si>
  <si>
    <t>Finance - Treasury Operational</t>
  </si>
  <si>
    <t xml:space="preserve">مجيد  قاسمي </t>
  </si>
  <si>
    <t>کارمند نگهداري و تعميرات</t>
  </si>
  <si>
    <t>پشتيباني فروشگاههاي منطقه تهران - الف</t>
  </si>
  <si>
    <t>Inventory Auditing Associate</t>
  </si>
  <si>
    <t>سپهر افسر</t>
  </si>
  <si>
    <t>کارشناس برنامه ريزي</t>
  </si>
  <si>
    <t>اميرحسين حيدري</t>
  </si>
  <si>
    <t>سرپرست  فناوري اطلاعات</t>
  </si>
  <si>
    <t>طه معزي</t>
  </si>
  <si>
    <t>IT Expert</t>
  </si>
  <si>
    <t>کارشناس نگهداري و تعميرات</t>
  </si>
  <si>
    <t>Inspection Associate</t>
  </si>
  <si>
    <t>مسئول فروشگاه</t>
  </si>
  <si>
    <t>سرپرستان مامور به فرانچايز منطقه 4</t>
  </si>
  <si>
    <t>سيد مهرداد محموديان</t>
  </si>
  <si>
    <t>Head of ICT - Services and hardware</t>
  </si>
  <si>
    <t>Personelid</t>
  </si>
  <si>
    <t>TitelJob</t>
  </si>
  <si>
    <t>District</t>
  </si>
  <si>
    <t>Location</t>
  </si>
  <si>
    <t>AvgOvertime1402</t>
  </si>
  <si>
    <t>عمليات فروش استان سيستان و بلوچستان کد 2</t>
  </si>
  <si>
    <t>سرپرستان مامور به فرانچايز فروشگاه هاي منطقه تهران - الف</t>
  </si>
  <si>
    <t>كارمند فروشگاه</t>
  </si>
  <si>
    <t>جانشين فروشگاه</t>
  </si>
  <si>
    <t>عمليات فروش استان سيستان و بلوچستان</t>
  </si>
  <si>
    <t>سامان فرزيب</t>
  </si>
  <si>
    <t>سرپرست برنامه ريزي</t>
  </si>
  <si>
    <t>PersonnelName</t>
  </si>
  <si>
    <t>Overtime140206</t>
  </si>
  <si>
    <t>جواد تاجعلي ناميلهء</t>
  </si>
  <si>
    <t>علي مشهدي</t>
  </si>
  <si>
    <t>سرپرستي فروش استان سيستان و بلوچستان- کد 10</t>
  </si>
  <si>
    <t>محسن نيک بخت</t>
  </si>
  <si>
    <t>محمد رحيمي</t>
  </si>
  <si>
    <t xml:space="preserve">امير  لاري پور </t>
  </si>
  <si>
    <t>کارشناس فناوري اطلاعات</t>
  </si>
  <si>
    <t>فناوري اطلاعات فروشگاههاي منطقه تهران - ب</t>
  </si>
  <si>
    <t>سامان جعفري راد</t>
  </si>
  <si>
    <t>مهرداد  ميري</t>
  </si>
  <si>
    <t>مسيول فروش</t>
  </si>
  <si>
    <t>حسين شامحمدي</t>
  </si>
  <si>
    <t>رياست فروش منطقه شش - کد 2</t>
  </si>
  <si>
    <t>سرپرستي فروش منطقه شش - کد 20</t>
  </si>
  <si>
    <t>مژگان  نوري زهمکان</t>
  </si>
  <si>
    <t>سرپرستي فروش استان کرمان- کد 15</t>
  </si>
  <si>
    <t>ابراهيم غلامي</t>
  </si>
  <si>
    <t>سرپرستي فروش منطقه يازده - کد 6</t>
  </si>
  <si>
    <t xml:space="preserve">سياوش  والي </t>
  </si>
  <si>
    <t>علي معدني</t>
  </si>
  <si>
    <t>کارشناس تجارت الکترونيک</t>
  </si>
  <si>
    <t>يوهان  خلجي هريس</t>
  </si>
  <si>
    <t>رئيس فروش</t>
  </si>
  <si>
    <t>سهيل محمديان سياهکلرودي</t>
  </si>
  <si>
    <t>ميثم  نظري حقيقي پاشاکي</t>
  </si>
  <si>
    <t>رويا ايزد پناه سرنقي</t>
  </si>
  <si>
    <t>رياست فروش استان آذربايجان شرقي - کد 2</t>
  </si>
  <si>
    <t>جواد  زارعي</t>
  </si>
  <si>
    <t>عمليات فروش منطقه تهران - ب</t>
  </si>
  <si>
    <t>سرپرستي فروش تهران ب - کد 8</t>
  </si>
  <si>
    <t>مهماندار</t>
  </si>
  <si>
    <t>بيژن خاموشي</t>
  </si>
  <si>
    <t>تهران - E</t>
  </si>
  <si>
    <t>تهران - D</t>
  </si>
  <si>
    <t>تهران - A</t>
  </si>
  <si>
    <t>گيلان</t>
  </si>
  <si>
    <t>البرز - A</t>
  </si>
  <si>
    <t>تهران - F</t>
  </si>
  <si>
    <t>تهران - C</t>
  </si>
  <si>
    <t>اصفهان</t>
  </si>
  <si>
    <t>تهران - B</t>
  </si>
  <si>
    <t>البرز - C</t>
  </si>
  <si>
    <t>آذربايجان شرقي</t>
  </si>
  <si>
    <t>کرمان</t>
  </si>
  <si>
    <t>عمليات زنجيره تامين</t>
  </si>
  <si>
    <t>البرز - B</t>
  </si>
  <si>
    <t>فروشگاه اصفهان هشت بهشت غربی</t>
  </si>
  <si>
    <t>فروشگاه اصفهان برازنده ساحل</t>
  </si>
  <si>
    <t>فروشگاه کرج برغان</t>
  </si>
  <si>
    <t>فروشگاه کرج کیانمهر دو</t>
  </si>
  <si>
    <t>فروشگاه نظر آباد الغدیر</t>
  </si>
  <si>
    <t>فروشگاه کرج نظرآباد سيدجمال الدين</t>
  </si>
  <si>
    <t>فروشگاه تهران فلکه سوم تهرانپارس</t>
  </si>
  <si>
    <t>فروشگاه تهران ميدان بني هاشم</t>
  </si>
  <si>
    <t>فروشگاه تهران شانزده متری امیری</t>
  </si>
  <si>
    <t>فروشگاه شهرزيبا تعاون</t>
  </si>
  <si>
    <t>فروشگاه رودهن مهر آباد</t>
  </si>
  <si>
    <t>فروشگاه تهران چهاردانگه گلشهر دو</t>
  </si>
  <si>
    <t>فروشگاه رودهن لاله صحرا دو</t>
  </si>
  <si>
    <t>فروشگاه تهران مهرآباد دو</t>
  </si>
  <si>
    <t>فروشگاه تهران اجاره دار</t>
  </si>
  <si>
    <t>فروشگاه تهران بهشتی اندیشه</t>
  </si>
  <si>
    <t>فروشگاه تهران مجیدیه شمالی</t>
  </si>
  <si>
    <t>فروشگاه تهران بهبودی</t>
  </si>
  <si>
    <t>فروشگاه تهران آیت دو</t>
  </si>
  <si>
    <t>فروشگاه تهران همایی شانزده متری</t>
  </si>
  <si>
    <t>فروشگاه تهران شهرآرا کلیسا</t>
  </si>
  <si>
    <t>فروشگاه قرچک مافي آباد</t>
  </si>
  <si>
    <t>فروشگاه رشت فرهنگ</t>
  </si>
  <si>
    <t>فروشگاه سیرجان صادقی</t>
  </si>
  <si>
    <t>Overtime</t>
  </si>
  <si>
    <t>AvgOvertime</t>
  </si>
  <si>
    <t>هادي کوچکي دهشالي</t>
  </si>
  <si>
    <t>کارگرجورچين</t>
  </si>
  <si>
    <t>انبار خشک دو البرز</t>
  </si>
  <si>
    <t>پيام درشتي</t>
  </si>
  <si>
    <t>کاردان پخش</t>
  </si>
  <si>
    <t>رضا سببي ينگجه</t>
  </si>
  <si>
    <t>انبار سرد تهران</t>
  </si>
  <si>
    <t>مجيد صمدي</t>
  </si>
  <si>
    <t>كارگر انبار</t>
  </si>
  <si>
    <t>بهزاد خدادادي پارکام</t>
  </si>
  <si>
    <t>سرپرست داخلي انبار</t>
  </si>
  <si>
    <t>اشکان ميررضائي</t>
  </si>
  <si>
    <t>کارشناس کاردکس</t>
  </si>
  <si>
    <t>انبار خشک تهران غرب</t>
  </si>
  <si>
    <t xml:space="preserve">ميثم دهفولي </t>
  </si>
  <si>
    <t>کنترل چي</t>
  </si>
  <si>
    <t>انبار خشک تهران شرق</t>
  </si>
  <si>
    <t>آيت عسگري</t>
  </si>
  <si>
    <t>سيد محمد حسيني</t>
  </si>
  <si>
    <t>راننده</t>
  </si>
  <si>
    <t>انبار خشک شیراز</t>
  </si>
  <si>
    <t>مجيد خودشناس</t>
  </si>
  <si>
    <t>کاردان کاردکس</t>
  </si>
  <si>
    <t>نادر شکوئي دونيقي</t>
  </si>
  <si>
    <t>حسن صليح</t>
  </si>
  <si>
    <t>انبار مرکزی منطقه 16</t>
  </si>
  <si>
    <t>محسن محبي</t>
  </si>
  <si>
    <t>داود کياني نظرلو</t>
  </si>
  <si>
    <t>نگهبان</t>
  </si>
  <si>
    <t>سرپرستي انتظامات انبارها - کد 1</t>
  </si>
  <si>
    <t>حسين محمودوند</t>
  </si>
  <si>
    <t>محمدرضا دستگير</t>
  </si>
  <si>
    <t>رضا نصيري</t>
  </si>
  <si>
    <t>فرشاد حاتمي چشمه گچي</t>
  </si>
  <si>
    <t>سياوش صباغي</t>
  </si>
  <si>
    <t>عليرضا خاني</t>
  </si>
  <si>
    <t>راننده ليفتراك</t>
  </si>
  <si>
    <t>مرتضي ديلم</t>
  </si>
  <si>
    <t>انبار خشک بابلسر</t>
  </si>
  <si>
    <t>سيدعرفان علي کيااميري</t>
  </si>
  <si>
    <t>رضا علينژاد</t>
  </si>
  <si>
    <t>بهنام بهشتي دادگر</t>
  </si>
  <si>
    <t>حامد قوتي</t>
  </si>
  <si>
    <t>ذوالفقار حسيني تبار</t>
  </si>
  <si>
    <t>حيدر آزادي</t>
  </si>
  <si>
    <t>محمد چشمه نوشي</t>
  </si>
  <si>
    <t>اميد فتاحي</t>
  </si>
  <si>
    <t>مازيار بهرامي</t>
  </si>
  <si>
    <t>جواد فراهاني عليا</t>
  </si>
  <si>
    <t xml:space="preserve">محمد  منيعي </t>
  </si>
  <si>
    <t>ابراهيم فرقان بين</t>
  </si>
  <si>
    <t>رضا واقف جزداني</t>
  </si>
  <si>
    <t>محمد مهدي عبدالحسين اصفهاني</t>
  </si>
  <si>
    <t xml:space="preserve">سعيد ابو محبوب </t>
  </si>
  <si>
    <t>حميدرضا مالکي</t>
  </si>
  <si>
    <t>علي ابش شاکري</t>
  </si>
  <si>
    <t>مجيد نايبي</t>
  </si>
  <si>
    <t>حميدرضا رادمنش</t>
  </si>
  <si>
    <t>احسان داوري</t>
  </si>
  <si>
    <t>امير نعمتي</t>
  </si>
  <si>
    <t xml:space="preserve">نعمت  عبدلي اقدم </t>
  </si>
  <si>
    <t>سيداحسان سجاديان</t>
  </si>
  <si>
    <t>علي غلامي</t>
  </si>
  <si>
    <t>علي بيرانوند</t>
  </si>
  <si>
    <t>محمد داوري</t>
  </si>
  <si>
    <t>محمدذاکر يزداني</t>
  </si>
  <si>
    <t>مرتضي ساساني نژاد</t>
  </si>
  <si>
    <t>بهاره محمدزاده</t>
  </si>
  <si>
    <t>زهره محمود آبادي</t>
  </si>
  <si>
    <t>سعيد خليلي مال خليفه</t>
  </si>
  <si>
    <t>محمدهاشم عضدي</t>
  </si>
  <si>
    <t>علي حسني</t>
  </si>
  <si>
    <t>جانشين دوم فروشگاه</t>
  </si>
  <si>
    <t>فرهاد نورخدا</t>
  </si>
  <si>
    <t>يسرا هدايتي</t>
  </si>
  <si>
    <t>اکرم رمضاني</t>
  </si>
  <si>
    <t>محمدرضا  نيک پي</t>
  </si>
  <si>
    <t>مليحه روحيه</t>
  </si>
  <si>
    <t>محمد جمشيدي</t>
  </si>
  <si>
    <t>فروشگاه هشترود بهشتي</t>
  </si>
  <si>
    <t>آذربايجان غربي</t>
  </si>
  <si>
    <t>اردبيل</t>
  </si>
  <si>
    <t>ايلام</t>
  </si>
  <si>
    <t>بوشهر</t>
  </si>
  <si>
    <t>چهارمحال و بختياري</t>
  </si>
  <si>
    <t>خراسان جنوبي</t>
  </si>
  <si>
    <t>خراسان رضوي</t>
  </si>
  <si>
    <t>خراسان شمالي</t>
  </si>
  <si>
    <t>خوزستان - A</t>
  </si>
  <si>
    <t>خوزستان - B</t>
  </si>
  <si>
    <t>زنجان</t>
  </si>
  <si>
    <t>سمنان</t>
  </si>
  <si>
    <t>سيستان و بلوچستان</t>
  </si>
  <si>
    <t>فارس - A</t>
  </si>
  <si>
    <t>فارس - B</t>
  </si>
  <si>
    <t>قزوين</t>
  </si>
  <si>
    <t>قم</t>
  </si>
  <si>
    <t>گلستان</t>
  </si>
  <si>
    <t>لرستان</t>
  </si>
  <si>
    <t>مازندران</t>
  </si>
  <si>
    <t>مرکزي</t>
  </si>
  <si>
    <t>هرمزگان</t>
  </si>
  <si>
    <t>همدان</t>
  </si>
  <si>
    <t>يزد</t>
  </si>
  <si>
    <t>کردستان - A</t>
  </si>
  <si>
    <t>کردستان - B</t>
  </si>
  <si>
    <t>کرمانشاه</t>
  </si>
  <si>
    <t>کهگيلويه و بوير احمد</t>
  </si>
  <si>
    <t>Count of
Stores</t>
  </si>
  <si>
    <t>Count of 
Personnel</t>
  </si>
  <si>
    <t>Average of 
OverTime</t>
  </si>
  <si>
    <t>Average of 
UnderTime</t>
  </si>
  <si>
    <t>Average of 
OffTime</t>
  </si>
  <si>
    <t>OverStaff</t>
  </si>
  <si>
    <t>UnderStaff</t>
  </si>
  <si>
    <t>Warehouse</t>
  </si>
  <si>
    <t>انبار تجهيز تهران</t>
  </si>
  <si>
    <t>انبار خشک اروميه</t>
  </si>
  <si>
    <t>انبار خشک اصفهان شرق</t>
  </si>
  <si>
    <t>انبار خشک اصفهان غرب</t>
  </si>
  <si>
    <t>انبار خشک اهواز دو</t>
  </si>
  <si>
    <t>انبار خشک تبريز</t>
  </si>
  <si>
    <t>انبار خشک رشت</t>
  </si>
  <si>
    <t>انبار خشک شيراز</t>
  </si>
  <si>
    <t>انبار خشک قم</t>
  </si>
  <si>
    <t>انبار خشک گرگان</t>
  </si>
  <si>
    <t>انبار خشک مشهد</t>
  </si>
  <si>
    <t>انبار خشک همدان</t>
  </si>
  <si>
    <t>انبار خشک کرمان</t>
  </si>
  <si>
    <t>انبار خشک کرمانشاه دو</t>
  </si>
  <si>
    <t>انبار دپو تهران</t>
  </si>
  <si>
    <t>انبار دو البرز</t>
  </si>
  <si>
    <t>انبار سرد اروميه</t>
  </si>
  <si>
    <t>انبار سرد اصفهان</t>
  </si>
  <si>
    <t>انبار سرد اهواز</t>
  </si>
  <si>
    <t>انبار سرد بابلسر</t>
  </si>
  <si>
    <t>انبار سرد رشت</t>
  </si>
  <si>
    <t>انبار سرد زاهدان</t>
  </si>
  <si>
    <t>انبار سرد شيراز</t>
  </si>
  <si>
    <t>انبار سرد مشهد</t>
  </si>
  <si>
    <t>انبار سرد همدان</t>
  </si>
  <si>
    <t>انبار سرد کرمان</t>
  </si>
  <si>
    <t>انبار سرد کرمانشاه</t>
  </si>
  <si>
    <t>رياست امور انبارها - کد 1</t>
  </si>
  <si>
    <t>رياست امور انبارها - کد 2</t>
  </si>
  <si>
    <t>رياست امور انبارها - کد 3</t>
  </si>
  <si>
    <t>رياست امور انبارها - کد 4</t>
  </si>
  <si>
    <t>رياست امور انبارها - کد 5</t>
  </si>
  <si>
    <t>رياست انتظامات انبارها</t>
  </si>
  <si>
    <t>رياست توسعه انبارها</t>
  </si>
  <si>
    <t>سرپرستي انتظامات انبارها - کد 2</t>
  </si>
  <si>
    <t>JOB</t>
  </si>
  <si>
    <t>Assortment Manager</t>
  </si>
  <si>
    <t>Branch Operations Manager</t>
  </si>
  <si>
    <t>Chief Commercial Officer (CCO)</t>
  </si>
  <si>
    <t>Chief Executive Officer (CEO)</t>
  </si>
  <si>
    <t>Chief HR Officer (CHRO)</t>
  </si>
  <si>
    <t>Commercial Associate</t>
  </si>
  <si>
    <t>Commercial Expert</t>
  </si>
  <si>
    <t>Commercial Manager</t>
  </si>
  <si>
    <t>Consultant</t>
  </si>
  <si>
    <t>Consultant to the CEO</t>
  </si>
  <si>
    <t>Coordination Expert</t>
  </si>
  <si>
    <t>Coordination Staffer</t>
  </si>
  <si>
    <t xml:space="preserve">Data Analytics Expert </t>
  </si>
  <si>
    <t>Data Analytics, Supervision, and Evaluation Manager</t>
  </si>
  <si>
    <t>Deputy CEO</t>
  </si>
  <si>
    <t>Designing Expert</t>
  </si>
  <si>
    <t>Digital Transformation Manager</t>
  </si>
  <si>
    <t>E-commerce Expert</t>
  </si>
  <si>
    <t>E-commerce Manager</t>
  </si>
  <si>
    <t>E-commerce Staffer</t>
  </si>
  <si>
    <t>Equipment Associate</t>
  </si>
  <si>
    <t>Equipment Expert</t>
  </si>
  <si>
    <t>Equipment manager</t>
  </si>
  <si>
    <t>Equipment Staffer</t>
  </si>
  <si>
    <t>Essential Food Products Commercial Manager</t>
  </si>
  <si>
    <t>Financial account manager</t>
  </si>
  <si>
    <t>Financial Associate</t>
  </si>
  <si>
    <t>Financial Staffer</t>
  </si>
  <si>
    <t>Franchise Development Manager</t>
  </si>
  <si>
    <t>Franchising Associate</t>
  </si>
  <si>
    <t>Franchising Expert</t>
  </si>
  <si>
    <t>General Financial Manager</t>
  </si>
  <si>
    <t>Head of CEO's Office</t>
  </si>
  <si>
    <t>Head of Commercial</t>
  </si>
  <si>
    <t>Head of Commercial - Contracts</t>
  </si>
  <si>
    <t>Head of Commercial - Data analysis and reports</t>
  </si>
  <si>
    <t>Head of Commercial - Non operating income</t>
  </si>
  <si>
    <t>Head of Commercial - pricing</t>
  </si>
  <si>
    <t>Head of Commercial - QC</t>
  </si>
  <si>
    <t>Head of Commercial - Sales, data and project control(PMO)</t>
  </si>
  <si>
    <t>Head of Data analysis, monitoring and evaluation</t>
  </si>
  <si>
    <t>Head of E-commerce</t>
  </si>
  <si>
    <t>Head of Equipment  -  construction operations</t>
  </si>
  <si>
    <t>Head of Equipment - Design and redesign</t>
  </si>
  <si>
    <t>Head of Equipment - Headquarters operation and support</t>
  </si>
  <si>
    <t>Head of Equipment - Maintenance and repairs</t>
  </si>
  <si>
    <t>Head of Equipment - Planning and implementation</t>
  </si>
  <si>
    <t>Head of Finance</t>
  </si>
  <si>
    <t>Head of Finance  - Payment accounting</t>
  </si>
  <si>
    <t>Head of Finance - A non-commercial account</t>
  </si>
  <si>
    <t>Head of Finance - Bill of lading accounting</t>
  </si>
  <si>
    <t>Head of Finance - Cold line purchase accounting</t>
  </si>
  <si>
    <t>Head of Finance - Credit card reader accounting</t>
  </si>
  <si>
    <t>Head of Finance - Dry line purchase accounting</t>
  </si>
  <si>
    <t>Head of Finance - Financial income</t>
  </si>
  <si>
    <t>Head of Finance - Franchise accounting</t>
  </si>
  <si>
    <t>Head of Finance - Fund accounting - Kourosh card</t>
  </si>
  <si>
    <t>Head of Finance - Internet and corporate sales accounting</t>
  </si>
  <si>
    <t>Head of Finance - Management accounting</t>
  </si>
  <si>
    <t>Head of Finance - Operational accounting</t>
  </si>
  <si>
    <t>Head of Finance - Property accounting</t>
  </si>
  <si>
    <t>Head of Finance - Tax accounting</t>
  </si>
  <si>
    <t>Head of Finance - Treasury operational</t>
  </si>
  <si>
    <t>Head of Finance Department</t>
  </si>
  <si>
    <t>Head of HR - administration</t>
  </si>
  <si>
    <t>Head of HR - C-B</t>
  </si>
  <si>
    <t>Head of HR - HSE</t>
  </si>
  <si>
    <t>Head of HR - Training and Development</t>
  </si>
  <si>
    <t>Head of HR- region recruiment</t>
  </si>
  <si>
    <t>Head of ICT - Data center</t>
  </si>
  <si>
    <t>Head of ICT - Information security</t>
  </si>
  <si>
    <t>Head of ICT - monitoring</t>
  </si>
  <si>
    <t>Head of ICT - Network and communication</t>
  </si>
  <si>
    <t>Head of Improve store operations - Finding complications</t>
  </si>
  <si>
    <t>Head of Improve store operations - Supervision of standards and disciplinary matters</t>
  </si>
  <si>
    <t>Head of Internal Audit</t>
  </si>
  <si>
    <t>Head of legal - Department contracts</t>
  </si>
  <si>
    <t>Head of Marketing - Customer experience</t>
  </si>
  <si>
    <t>Head of Marketing - Data analysis</t>
  </si>
  <si>
    <t>Head of Marketing - digital Marketing</t>
  </si>
  <si>
    <t>Head of Marketing - Implementation of campaigns</t>
  </si>
  <si>
    <t>Head of Marketing - Market research</t>
  </si>
  <si>
    <t>Head of Marketing - Product marketing</t>
  </si>
  <si>
    <t>head of organizatin sales - franchise and development</t>
  </si>
  <si>
    <t>Head of Security Guard</t>
  </si>
  <si>
    <t>Head of supply chain  - Service Level Assurance</t>
  </si>
  <si>
    <t>Head of supply chain - Demand planning and Data Analytics</t>
  </si>
  <si>
    <t>Head of supply chain - Inventory Auditing</t>
  </si>
  <si>
    <t>Head of supply chain - Master Planning</t>
  </si>
  <si>
    <t>Head of supply chain - Supply Planning</t>
  </si>
  <si>
    <t>Headquarters Systems Manager</t>
  </si>
  <si>
    <t>HR Associate</t>
  </si>
  <si>
    <t>HR consultant</t>
  </si>
  <si>
    <t>HR Expert</t>
  </si>
  <si>
    <t>HR Manager</t>
  </si>
  <si>
    <t>HSE Expert</t>
  </si>
  <si>
    <t>Inspection Expert</t>
  </si>
  <si>
    <t>Inspection Staffer</t>
  </si>
  <si>
    <t>Internal Audit manager</t>
  </si>
  <si>
    <t>Inventory Auditing Expert</t>
  </si>
  <si>
    <t>IT Associate</t>
  </si>
  <si>
    <t>IT Manager</t>
  </si>
  <si>
    <t>IT-Admin ERP Chapter Lead(Head)</t>
  </si>
  <si>
    <t>IT-Admin ERP Expert</t>
  </si>
  <si>
    <t>IT-Backend Development and Artificial intelligence Chapter Leader(Head)</t>
  </si>
  <si>
    <t>IT-Backend Development and Artificial intelligence Expert</t>
  </si>
  <si>
    <t>IT-Bizagi Development Chapter Lead(Head)</t>
  </si>
  <si>
    <t>IT-Bizagi Development Expert</t>
  </si>
  <si>
    <t>IT-Data Engineering Chapter lead(Head)</t>
  </si>
  <si>
    <t>IT-Data Engineering Expert</t>
  </si>
  <si>
    <t>IT-DBA Chapter Lead(Head)</t>
  </si>
  <si>
    <t>IT-DBA Expert</t>
  </si>
  <si>
    <t>IT-Development of financial processes and human resources Expert</t>
  </si>
  <si>
    <t>IT-Development of financial processes and human resources(head)</t>
  </si>
  <si>
    <t>IT-Development of headquarters and sales processes Chapter Lead(Head)</t>
  </si>
  <si>
    <t>IT-Development of headquarters and sales processes Expert</t>
  </si>
  <si>
    <t>IT-Development of processes Chapter Lead(Head)</t>
  </si>
  <si>
    <t>IT-Development of processes Expert</t>
  </si>
  <si>
    <t>IT-Development of supply chain processes Chapter Lead(Head)</t>
  </si>
  <si>
    <t>IT-Development of supply chain processes Expert</t>
  </si>
  <si>
    <t>IT-Devops &amp; Support network and hardware Regions Chapter Lead(Head)</t>
  </si>
  <si>
    <t>IT-Devops &amp; Support network and hardware Regions Expert</t>
  </si>
  <si>
    <t>IT-EPM Development Chapter Lead(Head)</t>
  </si>
  <si>
    <t>IT-EPM Development Expert</t>
  </si>
  <si>
    <t>IT-Front End Development Chapter Lead(Head)</t>
  </si>
  <si>
    <t>IT-Front End Development Expert</t>
  </si>
  <si>
    <t>IT-Portal Development Chapter Lead(Head)</t>
  </si>
  <si>
    <t>IT-Portal Development Expert</t>
  </si>
  <si>
    <t>IT-Pos Development Chapter Lead(Head)</t>
  </si>
  <si>
    <t>IT-Pos Development Expert</t>
  </si>
  <si>
    <t>IT-Retail Support Associate</t>
  </si>
  <si>
    <t>IT-Retail Support Chapter Leader(Head)</t>
  </si>
  <si>
    <t>IT-Retail Support Expert</t>
  </si>
  <si>
    <t>IT-Supplier Chain Support Associate</t>
  </si>
  <si>
    <t>IT-Supplier Chain Support Chapter Lead(Head)</t>
  </si>
  <si>
    <t>IT-Supplier Chain Support Expert</t>
  </si>
  <si>
    <t>IT-Support Chapter Lead(Head)</t>
  </si>
  <si>
    <t>IT-Support Expert</t>
  </si>
  <si>
    <t>Legal Associate</t>
  </si>
  <si>
    <t>Legal Manager</t>
  </si>
  <si>
    <t>Management driver</t>
  </si>
  <si>
    <t>Manager</t>
  </si>
  <si>
    <t>Marketing Associate</t>
  </si>
  <si>
    <t>Marketing Expert</t>
  </si>
  <si>
    <t>Marketing Manager</t>
  </si>
  <si>
    <t>Monitoring and evaluation Expert</t>
  </si>
  <si>
    <t>Office Expert</t>
  </si>
  <si>
    <t>Organization Sales Manager</t>
  </si>
  <si>
    <t>Organizational Sales Expert</t>
  </si>
  <si>
    <t>Project Control Expert</t>
  </si>
  <si>
    <t>Properties and Real Estate Affairs Manager</t>
  </si>
  <si>
    <t>Public Relations Expert</t>
  </si>
  <si>
    <t>Public Relations manager</t>
  </si>
  <si>
    <t>Recruitment Expert</t>
  </si>
  <si>
    <t>Security Guard</t>
  </si>
  <si>
    <t>Service worker</t>
  </si>
  <si>
    <t>Store operations improvement manager</t>
  </si>
  <si>
    <t>Supply Chain Associate</t>
  </si>
  <si>
    <t>Supply Chain Expert</t>
  </si>
  <si>
    <t>Supply Chain Operations Manager</t>
  </si>
  <si>
    <t>Training Associate</t>
  </si>
  <si>
    <t xml:space="preserve">Training Expert </t>
  </si>
  <si>
    <t>Treasury Manager</t>
  </si>
  <si>
    <t>رئيس استان</t>
  </si>
  <si>
    <t>رئيس امور انبارها</t>
  </si>
  <si>
    <t>رئيس انبار</t>
  </si>
  <si>
    <t>رئيس انتظامات انبار</t>
  </si>
  <si>
    <t>رئيس پشتيباني</t>
  </si>
  <si>
    <t>رئيس تجارت الکترونيک</t>
  </si>
  <si>
    <t>رئيس توسعه شعب</t>
  </si>
  <si>
    <t>رئيس توسعه فروش</t>
  </si>
  <si>
    <t>رئيس عمليات فروش</t>
  </si>
  <si>
    <t>رئيس مالي</t>
  </si>
  <si>
    <t>رئيس منابع انساني</t>
  </si>
  <si>
    <t>سرپرست انبار</t>
  </si>
  <si>
    <t>سرپرست انتظامات</t>
  </si>
  <si>
    <t>سرپرست بازاريابي</t>
  </si>
  <si>
    <t>سرپرست پخش</t>
  </si>
  <si>
    <t>سرپرست پشتيباني</t>
  </si>
  <si>
    <t>سرپرست تجارت الکترونيک</t>
  </si>
  <si>
    <t>سرپرست توسعه شعب</t>
  </si>
  <si>
    <t>سرپرست توسعه فروش</t>
  </si>
  <si>
    <t>سرپرست خريد و فروش سازماني</t>
  </si>
  <si>
    <t>سرپرست مالي</t>
  </si>
  <si>
    <t>سرپرست منابع انساني</t>
  </si>
  <si>
    <t>سرپرست نگهداري و تعميرات</t>
  </si>
  <si>
    <t>مدير استان</t>
  </si>
  <si>
    <t>مدير استان مستقل</t>
  </si>
  <si>
    <t>مدير توسعه فروش</t>
  </si>
  <si>
    <t>مدير عمليات فروش</t>
  </si>
  <si>
    <t>مدير منطقه</t>
  </si>
  <si>
    <t>مسئول بازاريابي</t>
  </si>
  <si>
    <t>مسئول تجارت الکترونيک</t>
  </si>
  <si>
    <t>مسئول توسعه فروش</t>
  </si>
  <si>
    <t>مسئول دفتر</t>
  </si>
  <si>
    <t>مسئول فني و تعميرات</t>
  </si>
  <si>
    <t>مسيول پشتيباني</t>
  </si>
  <si>
    <t>مسيول توسعه شعب و فرانچايز</t>
  </si>
  <si>
    <t>مسيول مالي</t>
  </si>
  <si>
    <t>مسيول منابع انساني</t>
  </si>
  <si>
    <t>معاون منطقه</t>
  </si>
  <si>
    <t>کارپرداز</t>
  </si>
  <si>
    <t>کاردان ايمني و بهداشت</t>
  </si>
  <si>
    <t>کاردان بازاريابي</t>
  </si>
  <si>
    <t>کاردان بازرگاني</t>
  </si>
  <si>
    <t>کاردان برنامه ريزي</t>
  </si>
  <si>
    <t>کاردان تجارت الکترونيک</t>
  </si>
  <si>
    <t>کاردان توسعه شعب</t>
  </si>
  <si>
    <t>کاردان خريد و فروش سازماني</t>
  </si>
  <si>
    <t>کاردان فني تعميرات</t>
  </si>
  <si>
    <t>کاردان مالي</t>
  </si>
  <si>
    <t>کاردان مانيتورينگ انتظامات</t>
  </si>
  <si>
    <t>کاردان منابع انساني</t>
  </si>
  <si>
    <t>کاردان نگهداري و تعميرات</t>
  </si>
  <si>
    <t>کارشناس ايمني و بهداشت</t>
  </si>
  <si>
    <t>کارشناس بازاريابي</t>
  </si>
  <si>
    <t>کارشناس بازرگاني</t>
  </si>
  <si>
    <t>کارشناس پخش</t>
  </si>
  <si>
    <t>کارشناس توسعه شعب</t>
  </si>
  <si>
    <t>کارشناس حسابرسي منطقه</t>
  </si>
  <si>
    <t>کارشناس حقوقي</t>
  </si>
  <si>
    <t>کارشناس خريد و فروش سازماني</t>
  </si>
  <si>
    <t>کارشناس دفتر</t>
  </si>
  <si>
    <t>کارشناس فروش سازماني</t>
  </si>
  <si>
    <t>کارشناس مالي</t>
  </si>
  <si>
    <t>کارشناس مرچندايزينگ</t>
  </si>
  <si>
    <t>کارشناس مسئول برنامه ريزي</t>
  </si>
  <si>
    <t>کارشناس منابع انساني</t>
  </si>
  <si>
    <t>کارشناس کنترل موجودي فروشگاه</t>
  </si>
  <si>
    <t>کارگر خدمات</t>
  </si>
  <si>
    <t>کارمند امور دفتري و خدمات</t>
  </si>
  <si>
    <t>کارمند بازاريابي</t>
  </si>
  <si>
    <t>کارمند برنامه ريزي</t>
  </si>
  <si>
    <t>کارمند پيگيري و تيکتينگ</t>
  </si>
  <si>
    <t>کارمند تجارت الکترونيک</t>
  </si>
  <si>
    <t>کارمند توسعه شعب</t>
  </si>
  <si>
    <t>کارمند فروش سازماني</t>
  </si>
  <si>
    <t>کارمند فناوري اطلاعات</t>
  </si>
  <si>
    <t>کارمند مالي</t>
  </si>
  <si>
    <t>کارمند منابع انساني</t>
  </si>
  <si>
    <t>Rental Stores</t>
  </si>
  <si>
    <t>Count of 
Departments</t>
  </si>
  <si>
    <t>Average of  
OverTime</t>
  </si>
  <si>
    <t>Average of 
 UnderTime</t>
  </si>
  <si>
    <t>Average of 
 OffTime</t>
  </si>
  <si>
    <t>Count of
Hired</t>
  </si>
  <si>
    <t>Count of
Left</t>
  </si>
  <si>
    <t>Job Title</t>
  </si>
  <si>
    <t>HQ Departments</t>
  </si>
  <si>
    <t>مجموع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</si>
</sst>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43" formatCode="_(* #,##0.00_);_(* \(#,##0.00\);_(* &quot;-&quot;??_);_(@_)"/>
    <numFmt numFmtId="164" formatCode="[&lt;=9999999]###\-####;\(###\)\ ###\-####"/>
    <numFmt numFmtId="165" formatCode="mmm"/>
    <numFmt numFmtId="166" formatCode="#,##0_);[Red]\(#,##0\);\-\ \ "/>
    <numFmt numFmtId="167" formatCode="_(* #,##0_);_(* \(#,##0\);_(* &quot;-&quot;??_);_(@_)"/>
  </numFmts>
  <fonts count="33" x14ac:knownFonts="1">
    <font>
      <sz val="13"/>
      <color theme="0"/>
      <name val="Century Gothic"/>
      <family val="2"/>
      <scheme val="minor"/>
    </font>
    <font>
      <sz val="10"/>
      <color theme="1" tint="0.24994659260841701"/>
      <name val="Century Gothic"/>
      <family val="2"/>
      <scheme val="minor"/>
    </font>
    <font>
      <b/>
      <sz val="18"/>
      <color theme="4"/>
      <name val="Century Gothic"/>
      <family val="2"/>
      <scheme val="minor"/>
    </font>
    <font>
      <sz val="13"/>
      <color theme="4"/>
      <name val="Century Gothic"/>
      <family val="2"/>
      <scheme val="minor"/>
    </font>
    <font>
      <b/>
      <sz val="72"/>
      <color theme="0"/>
      <name val="Century Gothic"/>
      <family val="2"/>
      <scheme val="major"/>
    </font>
    <font>
      <sz val="10"/>
      <color theme="3" tint="0.34998626667073579"/>
      <name val="Century Gothic"/>
      <family val="2"/>
      <scheme val="minor"/>
    </font>
    <font>
      <sz val="9"/>
      <color theme="1" tint="0.34998626667073579"/>
      <name val="Century Gothic"/>
      <family val="2"/>
      <scheme val="minor"/>
    </font>
    <font>
      <sz val="14"/>
      <color theme="1" tint="0.499984740745262"/>
      <name val="Century Gothic"/>
      <family val="2"/>
      <scheme val="minor"/>
    </font>
    <font>
      <sz val="30"/>
      <color theme="1" tint="0.499984740745262"/>
      <name val="Century Gothic"/>
      <family val="2"/>
      <scheme val="minor"/>
    </font>
    <font>
      <b/>
      <sz val="10"/>
      <color theme="4"/>
      <name val="Century Gothic"/>
      <family val="1"/>
      <scheme val="major"/>
    </font>
    <font>
      <sz val="9"/>
      <color theme="2" tint="-0.499984740745262"/>
      <name val="Century Gothic"/>
      <family val="2"/>
      <scheme val="minor"/>
    </font>
    <font>
      <sz val="13"/>
      <color theme="0"/>
      <name val="Century Gothic"/>
      <family val="2"/>
      <scheme val="minor"/>
    </font>
    <font>
      <sz val="10"/>
      <color theme="1"/>
      <name val="Century Gothic"/>
      <family val="2"/>
      <scheme val="minor"/>
    </font>
    <font>
      <sz val="9"/>
      <color theme="1"/>
      <name val="B Titr"/>
      <charset val="178"/>
    </font>
    <font>
      <b/>
      <sz val="10"/>
      <color theme="1"/>
      <name val="B Titr"/>
      <charset val="178"/>
    </font>
    <font>
      <b/>
      <sz val="9"/>
      <color theme="1"/>
      <name val="B Titr"/>
      <charset val="178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sz val="9"/>
      <color indexed="81"/>
      <name val="Tahoma"/>
    </font>
    <font>
      <b/>
      <sz val="9"/>
      <color indexed="81"/>
      <name val="Tahoma"/>
    </font>
    <font>
      <b/>
      <sz val="10"/>
      <color theme="1"/>
      <name val="B Nazanin"/>
      <charset val="178"/>
    </font>
    <font>
      <sz val="10"/>
      <color theme="1"/>
      <name val="B Nazanin"/>
      <charset val="178"/>
    </font>
    <font>
      <sz val="11"/>
      <color theme="1"/>
      <name val="B Nazanin"/>
      <charset val="178"/>
    </font>
    <font>
      <b/>
      <sz val="12"/>
      <color theme="1"/>
      <name val="B Nazanin"/>
      <charset val="178"/>
    </font>
    <font>
      <sz val="12"/>
      <color theme="1"/>
      <name val="B Nazanin"/>
      <charset val="178"/>
    </font>
    <font>
      <sz val="9"/>
      <color theme="1"/>
      <name val="B Nazanin"/>
      <charset val="178"/>
    </font>
    <font>
      <sz val="14"/>
      <color theme="1"/>
      <name val="B Nazanin"/>
      <charset val="178"/>
    </font>
    <font>
      <sz val="11"/>
      <color theme="2" tint="-0.499984740745262"/>
      <name val="Century Gothic"/>
      <family val="2"/>
      <scheme val="minor"/>
    </font>
    <font>
      <b/>
      <sz val="12"/>
      <color theme="1"/>
      <name val="Times New Roman"/>
      <family val="1"/>
    </font>
    <font>
      <b/>
      <sz val="14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B Titr"/>
      <charset val="178"/>
    </font>
    <font>
      <b/>
      <sz val="12"/>
      <color theme="1" tint="0.34998626667073579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29">
    <border>
      <left/>
      <right/>
      <top/>
      <bottom/>
      <diagonal/>
    </border>
    <border>
      <left style="thin">
        <color theme="4"/>
      </left>
      <right style="thin">
        <color theme="4"/>
      </right>
      <top style="thick">
        <color theme="4"/>
      </top>
      <bottom style="thick">
        <color theme="4"/>
      </bottom>
      <diagonal/>
    </border>
    <border>
      <left/>
      <right/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/>
      <bottom style="thin">
        <color theme="4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theme="1" tint="0.499984740745262"/>
      </left>
      <right style="double">
        <color theme="1" tint="0.499984740745262"/>
      </right>
      <top style="double">
        <color theme="1" tint="0.499984740745262"/>
      </top>
      <bottom style="double">
        <color theme="1" tint="0.499984740745262"/>
      </bottom>
      <diagonal/>
    </border>
    <border>
      <left style="double">
        <color theme="1" tint="0.499984740745262"/>
      </left>
      <right/>
      <top style="double">
        <color theme="1" tint="0.499984740745262"/>
      </top>
      <bottom style="double">
        <color theme="1" tint="0.499984740745262"/>
      </bottom>
      <diagonal/>
    </border>
    <border>
      <left/>
      <right style="double">
        <color theme="1" tint="0.499984740745262"/>
      </right>
      <top style="double">
        <color theme="1" tint="0.499984740745262"/>
      </top>
      <bottom style="double">
        <color theme="1" tint="0.499984740745262"/>
      </bottom>
      <diagonal/>
    </border>
    <border>
      <left style="double">
        <color theme="1" tint="0.499984740745262"/>
      </left>
      <right style="double">
        <color theme="1" tint="0.499984740745262"/>
      </right>
      <top style="double">
        <color theme="1" tint="0.499984740745262"/>
      </top>
      <bottom/>
      <diagonal/>
    </border>
    <border>
      <left style="medium">
        <color theme="1" tint="0.499984740745262"/>
      </left>
      <right style="double">
        <color theme="1" tint="0.499984740745262"/>
      </right>
      <top style="medium">
        <color theme="1" tint="0.499984740745262"/>
      </top>
      <bottom style="double">
        <color theme="1" tint="0.499984740745262"/>
      </bottom>
      <diagonal/>
    </border>
    <border>
      <left style="double">
        <color theme="1" tint="0.499984740745262"/>
      </left>
      <right style="double">
        <color theme="1" tint="0.499984740745262"/>
      </right>
      <top style="medium">
        <color theme="1" tint="0.499984740745262"/>
      </top>
      <bottom style="double">
        <color theme="1" tint="0.499984740745262"/>
      </bottom>
      <diagonal/>
    </border>
    <border>
      <left style="double">
        <color theme="1" tint="0.499984740745262"/>
      </left>
      <right style="medium">
        <color theme="1" tint="0.499984740745262"/>
      </right>
      <top style="medium">
        <color theme="1" tint="0.499984740745262"/>
      </top>
      <bottom style="double">
        <color theme="1" tint="0.499984740745262"/>
      </bottom>
      <diagonal/>
    </border>
    <border>
      <left style="medium">
        <color theme="1" tint="0.499984740745262"/>
      </left>
      <right style="double">
        <color theme="1" tint="0.499984740745262"/>
      </right>
      <top style="double">
        <color theme="1" tint="0.499984740745262"/>
      </top>
      <bottom style="double">
        <color theme="1" tint="0.499984740745262"/>
      </bottom>
      <diagonal/>
    </border>
    <border>
      <left style="double">
        <color theme="1" tint="0.499984740745262"/>
      </left>
      <right style="medium">
        <color theme="1" tint="0.499984740745262"/>
      </right>
      <top style="double">
        <color theme="1" tint="0.499984740745262"/>
      </top>
      <bottom style="double">
        <color theme="1" tint="0.499984740745262"/>
      </bottom>
      <diagonal/>
    </border>
    <border>
      <left style="medium">
        <color theme="1" tint="0.499984740745262"/>
      </left>
      <right/>
      <top style="medium">
        <color theme="1" tint="0.499984740745262"/>
      </top>
      <bottom style="thin">
        <color theme="4"/>
      </bottom>
      <diagonal/>
    </border>
    <border>
      <left/>
      <right/>
      <top style="medium">
        <color theme="1" tint="0.499984740745262"/>
      </top>
      <bottom style="thin">
        <color theme="4"/>
      </bottom>
      <diagonal/>
    </border>
    <border>
      <left/>
      <right style="medium">
        <color theme="1" tint="0.499984740745262"/>
      </right>
      <top style="medium">
        <color theme="1" tint="0.499984740745262"/>
      </top>
      <bottom style="thin">
        <color theme="4"/>
      </bottom>
      <diagonal/>
    </border>
    <border>
      <left style="medium">
        <color theme="1" tint="0.499984740745262"/>
      </left>
      <right/>
      <top/>
      <bottom/>
      <diagonal/>
    </border>
    <border>
      <left style="thin">
        <color theme="0"/>
      </left>
      <right style="medium">
        <color theme="1" tint="0.499984740745262"/>
      </right>
      <top/>
      <bottom style="thin">
        <color theme="0"/>
      </bottom>
      <diagonal/>
    </border>
    <border>
      <left style="medium">
        <color theme="1" tint="0.499984740745262"/>
      </left>
      <right/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/>
      </left>
      <right style="medium">
        <color theme="1" tint="0.499984740745262"/>
      </right>
      <top style="thin">
        <color theme="0"/>
      </top>
      <bottom style="thin">
        <color theme="0"/>
      </bottom>
      <diagonal/>
    </border>
    <border>
      <left style="medium">
        <color theme="1" tint="0.499984740745262"/>
      </left>
      <right/>
      <top style="thin">
        <color theme="0" tint="-0.14996795556505021"/>
      </top>
      <bottom style="medium">
        <color theme="1" tint="0.499984740745262"/>
      </bottom>
      <diagonal/>
    </border>
    <border>
      <left/>
      <right/>
      <top style="thin">
        <color theme="0" tint="-0.14996795556505021"/>
      </top>
      <bottom style="medium">
        <color theme="1" tint="0.499984740745262"/>
      </bottom>
      <diagonal/>
    </border>
    <border>
      <left style="thin">
        <color theme="0"/>
      </left>
      <right/>
      <top style="thin">
        <color theme="0"/>
      </top>
      <bottom style="medium">
        <color theme="1" tint="0.499984740745262"/>
      </bottom>
      <diagonal/>
    </border>
    <border>
      <left style="thin">
        <color theme="0"/>
      </left>
      <right style="medium">
        <color theme="1" tint="0.499984740745262"/>
      </right>
      <top style="thin">
        <color theme="0"/>
      </top>
      <bottom style="medium">
        <color theme="1" tint="0.499984740745262"/>
      </bottom>
      <diagonal/>
    </border>
  </borders>
  <cellStyleXfs count="11">
    <xf numFmtId="0" fontId="0" fillId="2" borderId="0">
      <alignment horizontal="left" vertical="center" indent="1"/>
    </xf>
    <xf numFmtId="0" fontId="4" fillId="3" borderId="0" applyNumberFormat="0" applyBorder="0" applyProtection="0">
      <alignment horizontal="left"/>
    </xf>
    <xf numFmtId="164" fontId="1" fillId="0" borderId="0" applyFont="0" applyFill="0" applyBorder="0" applyAlignment="0" applyProtection="0"/>
    <xf numFmtId="14" fontId="1" fillId="0" borderId="0" applyFont="0" applyFill="0" applyBorder="0" applyAlignment="0" applyProtection="0"/>
    <xf numFmtId="0" fontId="2" fillId="4" borderId="1" applyNumberFormat="0" applyAlignment="0" applyProtection="0"/>
    <xf numFmtId="0" fontId="3" fillId="2" borderId="0" applyNumberFormat="0" applyFill="0" applyBorder="0" applyAlignment="0" applyProtection="0">
      <alignment horizontal="left" vertical="center" indent="1"/>
    </xf>
    <xf numFmtId="0" fontId="3" fillId="2" borderId="0" applyNumberFormat="0" applyFill="0" applyBorder="0" applyAlignment="0" applyProtection="0">
      <alignment horizontal="left" vertical="center" indent="1"/>
    </xf>
    <xf numFmtId="0" fontId="5" fillId="0" borderId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43" fontId="11" fillId="0" borderId="0" applyFont="0" applyFill="0" applyBorder="0" applyAlignment="0" applyProtection="0"/>
  </cellStyleXfs>
  <cellXfs count="110">
    <xf numFmtId="0" fontId="0" fillId="2" borderId="0" xfId="0">
      <alignment horizontal="left" vertical="center" indent="1"/>
    </xf>
    <xf numFmtId="0" fontId="6" fillId="0" borderId="0" xfId="7" applyFont="1"/>
    <xf numFmtId="0" fontId="6" fillId="0" borderId="0" xfId="7" applyFont="1" applyAlignment="1">
      <alignment horizontal="left"/>
    </xf>
    <xf numFmtId="0" fontId="9" fillId="0" borderId="0" xfId="7" applyFont="1" applyAlignment="1">
      <alignment horizontal="left" vertical="top"/>
    </xf>
    <xf numFmtId="165" fontId="9" fillId="0" borderId="0" xfId="7" applyNumberFormat="1" applyFont="1" applyAlignment="1">
      <alignment horizontal="left" vertical="top"/>
    </xf>
    <xf numFmtId="0" fontId="6" fillId="0" borderId="0" xfId="7" applyFont="1" applyAlignment="1">
      <alignment horizontal="left" vertical="top"/>
    </xf>
    <xf numFmtId="0" fontId="6" fillId="0" borderId="0" xfId="7" applyFont="1" applyAlignment="1">
      <alignment vertical="top"/>
    </xf>
    <xf numFmtId="0" fontId="6" fillId="0" borderId="0" xfId="7" applyFont="1" applyAlignment="1">
      <alignment horizontal="center"/>
    </xf>
    <xf numFmtId="0" fontId="13" fillId="0" borderId="0" xfId="7" applyFont="1"/>
    <xf numFmtId="166" fontId="12" fillId="0" borderId="6" xfId="7" applyNumberFormat="1" applyFont="1" applyBorder="1" applyAlignment="1" applyProtection="1">
      <alignment horizontal="center"/>
      <protection locked="0"/>
    </xf>
    <xf numFmtId="20" fontId="12" fillId="0" borderId="6" xfId="7" applyNumberFormat="1" applyFont="1" applyBorder="1" applyAlignment="1" applyProtection="1">
      <alignment horizontal="center"/>
      <protection locked="0"/>
    </xf>
    <xf numFmtId="0" fontId="17" fillId="0" borderId="9" xfId="7" applyFont="1" applyBorder="1"/>
    <xf numFmtId="0" fontId="17" fillId="0" borderId="9" xfId="7" applyFont="1" applyBorder="1" applyAlignment="1">
      <alignment vertical="top"/>
    </xf>
    <xf numFmtId="165" fontId="16" fillId="0" borderId="9" xfId="7" applyNumberFormat="1" applyFont="1" applyBorder="1" applyAlignment="1">
      <alignment horizontal="center" vertical="center" wrapText="1"/>
    </xf>
    <xf numFmtId="0" fontId="15" fillId="0" borderId="10" xfId="7" applyFont="1" applyBorder="1" applyAlignment="1">
      <alignment horizontal="center"/>
    </xf>
    <xf numFmtId="0" fontId="14" fillId="0" borderId="10" xfId="7" applyFont="1" applyBorder="1" applyAlignment="1">
      <alignment horizontal="center"/>
    </xf>
    <xf numFmtId="165" fontId="16" fillId="0" borderId="11" xfId="7" applyNumberFormat="1" applyFont="1" applyBorder="1" applyAlignment="1">
      <alignment horizontal="center" vertical="center" wrapText="1"/>
    </xf>
    <xf numFmtId="0" fontId="17" fillId="0" borderId="16" xfId="7" applyFont="1" applyBorder="1" applyAlignment="1">
      <alignment horizontal="center"/>
    </xf>
    <xf numFmtId="0" fontId="17" fillId="0" borderId="9" xfId="7" applyFont="1" applyBorder="1" applyAlignment="1">
      <alignment horizontal="center"/>
    </xf>
    <xf numFmtId="20" fontId="17" fillId="0" borderId="9" xfId="7" applyNumberFormat="1" applyFont="1" applyBorder="1" applyAlignment="1">
      <alignment horizontal="center"/>
    </xf>
    <xf numFmtId="20" fontId="17" fillId="0" borderId="17" xfId="7" applyNumberFormat="1" applyFont="1" applyBorder="1" applyAlignment="1">
      <alignment horizontal="center"/>
    </xf>
    <xf numFmtId="0" fontId="17" fillId="0" borderId="11" xfId="7" applyFont="1" applyBorder="1" applyAlignment="1">
      <alignment horizontal="center"/>
    </xf>
    <xf numFmtId="0" fontId="17" fillId="0" borderId="9" xfId="7" applyFont="1" applyBorder="1" applyAlignment="1">
      <alignment horizontal="center" vertical="top"/>
    </xf>
    <xf numFmtId="0" fontId="17" fillId="8" borderId="16" xfId="7" applyFont="1" applyFill="1" applyBorder="1" applyAlignment="1">
      <alignment horizontal="center"/>
    </xf>
    <xf numFmtId="0" fontId="17" fillId="8" borderId="9" xfId="7" applyFont="1" applyFill="1" applyBorder="1" applyAlignment="1">
      <alignment horizontal="center"/>
    </xf>
    <xf numFmtId="20" fontId="17" fillId="8" borderId="9" xfId="7" applyNumberFormat="1" applyFont="1" applyFill="1" applyBorder="1" applyAlignment="1">
      <alignment horizontal="center"/>
    </xf>
    <xf numFmtId="0" fontId="17" fillId="8" borderId="17" xfId="7" applyFont="1" applyFill="1" applyBorder="1" applyAlignment="1">
      <alignment horizontal="center"/>
    </xf>
    <xf numFmtId="166" fontId="17" fillId="8" borderId="16" xfId="7" applyNumberFormat="1" applyFont="1" applyFill="1" applyBorder="1" applyAlignment="1" applyProtection="1">
      <alignment horizontal="center"/>
      <protection locked="0"/>
    </xf>
    <xf numFmtId="166" fontId="17" fillId="8" borderId="9" xfId="7" applyNumberFormat="1" applyFont="1" applyFill="1" applyBorder="1" applyAlignment="1" applyProtection="1">
      <alignment horizontal="center"/>
      <protection locked="0"/>
    </xf>
    <xf numFmtId="20" fontId="17" fillId="8" borderId="9" xfId="7" applyNumberFormat="1" applyFont="1" applyFill="1" applyBorder="1" applyAlignment="1" applyProtection="1">
      <alignment horizontal="center"/>
      <protection locked="0"/>
    </xf>
    <xf numFmtId="166" fontId="17" fillId="8" borderId="16" xfId="7" applyNumberFormat="1" applyFont="1" applyFill="1" applyBorder="1" applyAlignment="1">
      <alignment horizontal="center"/>
    </xf>
    <xf numFmtId="166" fontId="17" fillId="8" borderId="9" xfId="7" applyNumberFormat="1" applyFont="1" applyFill="1" applyBorder="1" applyAlignment="1">
      <alignment horizontal="center"/>
    </xf>
    <xf numFmtId="0" fontId="16" fillId="0" borderId="10" xfId="7" applyFont="1" applyBorder="1" applyAlignment="1">
      <alignment horizontal="center" vertical="center" wrapText="1"/>
    </xf>
    <xf numFmtId="166" fontId="16" fillId="0" borderId="6" xfId="7" applyNumberFormat="1" applyFont="1" applyBorder="1" applyAlignment="1" applyProtection="1">
      <alignment horizontal="center"/>
      <protection locked="0"/>
    </xf>
    <xf numFmtId="20" fontId="16" fillId="0" borderId="6" xfId="7" applyNumberFormat="1" applyFont="1" applyBorder="1" applyAlignment="1" applyProtection="1">
      <alignment horizontal="center"/>
      <protection locked="0"/>
    </xf>
    <xf numFmtId="166" fontId="16" fillId="0" borderId="6" xfId="7" applyNumberFormat="1" applyFont="1" applyBorder="1" applyAlignment="1">
      <alignment horizontal="center"/>
    </xf>
    <xf numFmtId="20" fontId="16" fillId="0" borderId="6" xfId="7" applyNumberFormat="1" applyFont="1" applyBorder="1" applyAlignment="1">
      <alignment horizontal="center"/>
    </xf>
    <xf numFmtId="0" fontId="16" fillId="0" borderId="6" xfId="7" applyFont="1" applyBorder="1" applyAlignment="1">
      <alignment horizontal="center"/>
    </xf>
    <xf numFmtId="0" fontId="16" fillId="0" borderId="8" xfId="7" applyFont="1" applyBorder="1" applyAlignment="1">
      <alignment horizontal="center"/>
    </xf>
    <xf numFmtId="20" fontId="16" fillId="0" borderId="8" xfId="7" applyNumberFormat="1" applyFont="1" applyBorder="1" applyAlignment="1">
      <alignment horizontal="center"/>
    </xf>
    <xf numFmtId="166" fontId="16" fillId="0" borderId="7" xfId="7" applyNumberFormat="1" applyFont="1" applyBorder="1" applyAlignment="1" applyProtection="1">
      <alignment horizontal="center"/>
      <protection locked="0"/>
    </xf>
    <xf numFmtId="20" fontId="16" fillId="0" borderId="7" xfId="7" applyNumberFormat="1" applyFont="1" applyBorder="1" applyAlignment="1" applyProtection="1">
      <alignment horizontal="center"/>
      <protection locked="0"/>
    </xf>
    <xf numFmtId="0" fontId="20" fillId="0" borderId="4" xfId="7" applyFont="1" applyBorder="1" applyAlignment="1">
      <alignment horizontal="left" vertical="top"/>
    </xf>
    <xf numFmtId="0" fontId="21" fillId="0" borderId="0" xfId="7" applyFont="1" applyAlignment="1">
      <alignment horizontal="left"/>
    </xf>
    <xf numFmtId="0" fontId="21" fillId="0" borderId="2" xfId="7" applyFont="1" applyBorder="1" applyAlignment="1">
      <alignment horizontal="left"/>
    </xf>
    <xf numFmtId="166" fontId="22" fillId="0" borderId="0" xfId="7" applyNumberFormat="1" applyFont="1" applyAlignment="1" applyProtection="1">
      <alignment horizontal="left"/>
      <protection locked="0"/>
    </xf>
    <xf numFmtId="166" fontId="22" fillId="0" borderId="2" xfId="7" applyNumberFormat="1" applyFont="1" applyBorder="1" applyAlignment="1" applyProtection="1">
      <alignment horizontal="left"/>
      <protection locked="0"/>
    </xf>
    <xf numFmtId="0" fontId="23" fillId="0" borderId="4" xfId="7" applyFont="1" applyBorder="1" applyAlignment="1">
      <alignment horizontal="left" vertical="top"/>
    </xf>
    <xf numFmtId="0" fontId="24" fillId="0" borderId="0" xfId="7" applyFont="1" applyAlignment="1">
      <alignment horizontal="left"/>
    </xf>
    <xf numFmtId="0" fontId="24" fillId="0" borderId="2" xfId="7" applyFont="1" applyBorder="1" applyAlignment="1">
      <alignment horizontal="left"/>
    </xf>
    <xf numFmtId="166" fontId="24" fillId="0" borderId="2" xfId="7" applyNumberFormat="1" applyFont="1" applyBorder="1" applyAlignment="1" applyProtection="1">
      <alignment horizontal="right"/>
      <protection locked="0"/>
    </xf>
    <xf numFmtId="0" fontId="6" fillId="0" borderId="0" xfId="7" applyFont="1" applyAlignment="1">
      <alignment horizontal="right"/>
    </xf>
    <xf numFmtId="167" fontId="24" fillId="5" borderId="5" xfId="10" applyNumberFormat="1" applyFont="1" applyFill="1" applyBorder="1" applyAlignment="1">
      <alignment horizontal="center"/>
    </xf>
    <xf numFmtId="167" fontId="24" fillId="5" borderId="3" xfId="10" applyNumberFormat="1" applyFont="1" applyFill="1" applyBorder="1" applyAlignment="1">
      <alignment horizontal="center"/>
    </xf>
    <xf numFmtId="167" fontId="10" fillId="0" borderId="0" xfId="10" applyNumberFormat="1" applyFont="1" applyAlignment="1">
      <alignment horizontal="center"/>
    </xf>
    <xf numFmtId="165" fontId="20" fillId="0" borderId="0" xfId="7" applyNumberFormat="1" applyFont="1" applyAlignment="1">
      <alignment horizontal="left" vertical="top"/>
    </xf>
    <xf numFmtId="0" fontId="20" fillId="0" borderId="0" xfId="7" applyFont="1" applyAlignment="1">
      <alignment horizontal="left" vertical="top"/>
    </xf>
    <xf numFmtId="0" fontId="25" fillId="0" borderId="0" xfId="7" applyFont="1" applyAlignment="1">
      <alignment horizontal="left" vertical="top"/>
    </xf>
    <xf numFmtId="0" fontId="25" fillId="0" borderId="0" xfId="7" applyFont="1" applyAlignment="1">
      <alignment horizontal="left"/>
    </xf>
    <xf numFmtId="0" fontId="25" fillId="0" borderId="0" xfId="7" applyFont="1"/>
    <xf numFmtId="167" fontId="26" fillId="5" borderId="5" xfId="10" applyNumberFormat="1" applyFont="1" applyFill="1" applyBorder="1" applyAlignment="1">
      <alignment horizontal="left"/>
    </xf>
    <xf numFmtId="167" fontId="26" fillId="5" borderId="3" xfId="10" applyNumberFormat="1" applyFont="1" applyFill="1" applyBorder="1" applyAlignment="1">
      <alignment horizontal="left"/>
    </xf>
    <xf numFmtId="167" fontId="26" fillId="0" borderId="0" xfId="10" applyNumberFormat="1" applyFont="1"/>
    <xf numFmtId="167" fontId="22" fillId="5" borderId="5" xfId="10" applyNumberFormat="1" applyFont="1" applyFill="1" applyBorder="1" applyAlignment="1">
      <alignment horizontal="left"/>
    </xf>
    <xf numFmtId="167" fontId="22" fillId="5" borderId="3" xfId="10" applyNumberFormat="1" applyFont="1" applyFill="1" applyBorder="1" applyAlignment="1">
      <alignment horizontal="left"/>
    </xf>
    <xf numFmtId="167" fontId="27" fillId="0" borderId="0" xfId="10" applyNumberFormat="1" applyFont="1"/>
    <xf numFmtId="166" fontId="23" fillId="0" borderId="2" xfId="7" applyNumberFormat="1" applyFont="1" applyBorder="1" applyAlignment="1" applyProtection="1">
      <alignment horizontal="left"/>
      <protection locked="0"/>
    </xf>
    <xf numFmtId="0" fontId="28" fillId="0" borderId="4" xfId="7" applyFont="1" applyBorder="1" applyAlignment="1">
      <alignment horizontal="left" vertical="top"/>
    </xf>
    <xf numFmtId="165" fontId="28" fillId="0" borderId="4" xfId="7" applyNumberFormat="1" applyFont="1" applyBorder="1" applyAlignment="1">
      <alignment horizontal="left" vertical="top"/>
    </xf>
    <xf numFmtId="167" fontId="29" fillId="0" borderId="4" xfId="10" applyNumberFormat="1" applyFont="1" applyBorder="1" applyAlignment="1">
      <alignment horizontal="left" vertical="top"/>
    </xf>
    <xf numFmtId="0" fontId="28" fillId="0" borderId="18" xfId="7" applyFont="1" applyBorder="1" applyAlignment="1">
      <alignment horizontal="left" vertical="top"/>
    </xf>
    <xf numFmtId="165" fontId="28" fillId="0" borderId="19" xfId="7" applyNumberFormat="1" applyFont="1" applyBorder="1" applyAlignment="1">
      <alignment horizontal="left" vertical="top"/>
    </xf>
    <xf numFmtId="167" fontId="28" fillId="0" borderId="19" xfId="10" applyNumberFormat="1" applyFont="1" applyBorder="1" applyAlignment="1">
      <alignment horizontal="left" vertical="top"/>
    </xf>
    <xf numFmtId="167" fontId="28" fillId="0" borderId="20" xfId="10" applyNumberFormat="1" applyFont="1" applyBorder="1" applyAlignment="1">
      <alignment horizontal="left" vertical="top"/>
    </xf>
    <xf numFmtId="166" fontId="23" fillId="0" borderId="21" xfId="7" applyNumberFormat="1" applyFont="1" applyBorder="1" applyAlignment="1" applyProtection="1">
      <alignment horizontal="left"/>
      <protection locked="0"/>
    </xf>
    <xf numFmtId="166" fontId="23" fillId="0" borderId="0" xfId="7" applyNumberFormat="1" applyFont="1" applyAlignment="1" applyProtection="1">
      <alignment horizontal="left"/>
      <protection locked="0"/>
    </xf>
    <xf numFmtId="167" fontId="22" fillId="5" borderId="22" xfId="10" applyNumberFormat="1" applyFont="1" applyFill="1" applyBorder="1" applyAlignment="1">
      <alignment horizontal="left"/>
    </xf>
    <xf numFmtId="166" fontId="23" fillId="0" borderId="23" xfId="7" applyNumberFormat="1" applyFont="1" applyBorder="1" applyAlignment="1" applyProtection="1">
      <alignment horizontal="left"/>
      <protection locked="0"/>
    </xf>
    <xf numFmtId="167" fontId="22" fillId="5" borderId="24" xfId="10" applyNumberFormat="1" applyFont="1" applyFill="1" applyBorder="1" applyAlignment="1">
      <alignment horizontal="left"/>
    </xf>
    <xf numFmtId="166" fontId="23" fillId="0" borderId="25" xfId="7" applyNumberFormat="1" applyFont="1" applyBorder="1" applyAlignment="1" applyProtection="1">
      <alignment horizontal="left"/>
      <protection locked="0"/>
    </xf>
    <xf numFmtId="166" fontId="23" fillId="0" borderId="26" xfId="7" applyNumberFormat="1" applyFont="1" applyBorder="1" applyAlignment="1" applyProtection="1">
      <alignment horizontal="left"/>
      <protection locked="0"/>
    </xf>
    <xf numFmtId="167" fontId="22" fillId="5" borderId="27" xfId="10" applyNumberFormat="1" applyFont="1" applyFill="1" applyBorder="1" applyAlignment="1">
      <alignment horizontal="left"/>
    </xf>
    <xf numFmtId="167" fontId="22" fillId="5" borderId="28" xfId="10" applyNumberFormat="1" applyFont="1" applyFill="1" applyBorder="1" applyAlignment="1">
      <alignment horizontal="left"/>
    </xf>
    <xf numFmtId="0" fontId="30" fillId="0" borderId="18" xfId="7" applyFont="1" applyBorder="1" applyAlignment="1">
      <alignment horizontal="center" vertical="center"/>
    </xf>
    <xf numFmtId="165" fontId="30" fillId="0" borderId="19" xfId="7" applyNumberFormat="1" applyFont="1" applyBorder="1" applyAlignment="1">
      <alignment horizontal="center" vertical="center"/>
    </xf>
    <xf numFmtId="167" fontId="30" fillId="0" borderId="19" xfId="10" applyNumberFormat="1" applyFont="1" applyBorder="1" applyAlignment="1">
      <alignment horizontal="center" vertical="center"/>
    </xf>
    <xf numFmtId="167" fontId="30" fillId="0" borderId="20" xfId="10" applyNumberFormat="1" applyFont="1" applyBorder="1" applyAlignment="1">
      <alignment horizontal="center" vertical="center"/>
    </xf>
    <xf numFmtId="166" fontId="24" fillId="0" borderId="21" xfId="7" applyNumberFormat="1" applyFont="1" applyBorder="1" applyAlignment="1" applyProtection="1">
      <alignment horizontal="right"/>
      <protection locked="0"/>
    </xf>
    <xf numFmtId="166" fontId="24" fillId="0" borderId="0" xfId="7" applyNumberFormat="1" applyFont="1" applyAlignment="1" applyProtection="1">
      <alignment horizontal="right"/>
      <protection locked="0"/>
    </xf>
    <xf numFmtId="167" fontId="24" fillId="5" borderId="22" xfId="10" applyNumberFormat="1" applyFont="1" applyFill="1" applyBorder="1" applyAlignment="1">
      <alignment horizontal="center"/>
    </xf>
    <xf numFmtId="166" fontId="24" fillId="0" borderId="23" xfId="7" applyNumberFormat="1" applyFont="1" applyBorder="1" applyAlignment="1" applyProtection="1">
      <alignment horizontal="right"/>
      <protection locked="0"/>
    </xf>
    <xf numFmtId="167" fontId="24" fillId="5" borderId="24" xfId="10" applyNumberFormat="1" applyFont="1" applyFill="1" applyBorder="1" applyAlignment="1">
      <alignment horizontal="center"/>
    </xf>
    <xf numFmtId="166" fontId="24" fillId="0" borderId="25" xfId="7" applyNumberFormat="1" applyFont="1" applyBorder="1" applyAlignment="1" applyProtection="1">
      <alignment horizontal="right"/>
      <protection locked="0"/>
    </xf>
    <xf numFmtId="166" fontId="24" fillId="0" borderId="26" xfId="7" applyNumberFormat="1" applyFont="1" applyBorder="1" applyAlignment="1" applyProtection="1">
      <alignment horizontal="right"/>
      <protection locked="0"/>
    </xf>
    <xf numFmtId="167" fontId="24" fillId="5" borderId="27" xfId="10" applyNumberFormat="1" applyFont="1" applyFill="1" applyBorder="1" applyAlignment="1">
      <alignment horizontal="center"/>
    </xf>
    <xf numFmtId="167" fontId="24" fillId="5" borderId="28" xfId="10" applyNumberFormat="1" applyFont="1" applyFill="1" applyBorder="1" applyAlignment="1">
      <alignment horizontal="center"/>
    </xf>
    <xf numFmtId="0" fontId="29" fillId="0" borderId="10" xfId="7" applyFont="1" applyBorder="1" applyAlignment="1">
      <alignment horizontal="center" vertical="center"/>
    </xf>
    <xf numFmtId="0" fontId="28" fillId="0" borderId="13" xfId="7" applyFont="1" applyBorder="1" applyAlignment="1">
      <alignment horizontal="center" vertical="center" wrapText="1"/>
    </xf>
    <xf numFmtId="165" fontId="28" fillId="0" borderId="14" xfId="7" applyNumberFormat="1" applyFont="1" applyBorder="1" applyAlignment="1">
      <alignment horizontal="center" vertical="center" wrapText="1"/>
    </xf>
    <xf numFmtId="165" fontId="28" fillId="0" borderId="14" xfId="7" applyNumberFormat="1" applyFont="1" applyBorder="1" applyAlignment="1">
      <alignment vertical="center" wrapText="1"/>
    </xf>
    <xf numFmtId="165" fontId="28" fillId="0" borderId="15" xfId="7" applyNumberFormat="1" applyFont="1" applyBorder="1" applyAlignment="1">
      <alignment vertical="center" wrapText="1"/>
    </xf>
    <xf numFmtId="0" fontId="28" fillId="0" borderId="14" xfId="7" applyFont="1" applyBorder="1" applyAlignment="1">
      <alignment horizontal="center" vertical="center" wrapText="1"/>
    </xf>
    <xf numFmtId="165" fontId="28" fillId="0" borderId="15" xfId="7" applyNumberFormat="1" applyFont="1" applyBorder="1" applyAlignment="1">
      <alignment horizontal="center" vertical="center" wrapText="1"/>
    </xf>
    <xf numFmtId="0" fontId="28" fillId="6" borderId="12" xfId="7" applyFont="1" applyFill="1" applyBorder="1" applyAlignment="1">
      <alignment horizontal="center"/>
    </xf>
    <xf numFmtId="0" fontId="28" fillId="7" borderId="12" xfId="7" applyFont="1" applyFill="1" applyBorder="1" applyAlignment="1">
      <alignment horizontal="center"/>
    </xf>
    <xf numFmtId="166" fontId="16" fillId="8" borderId="16" xfId="7" applyNumberFormat="1" applyFont="1" applyFill="1" applyBorder="1" applyAlignment="1" applyProtection="1">
      <alignment horizontal="center"/>
      <protection locked="0"/>
    </xf>
    <xf numFmtId="0" fontId="16" fillId="0" borderId="16" xfId="7" applyFont="1" applyBorder="1" applyAlignment="1">
      <alignment horizontal="center"/>
    </xf>
    <xf numFmtId="0" fontId="31" fillId="0" borderId="10" xfId="7" applyFont="1" applyBorder="1" applyAlignment="1">
      <alignment horizontal="center"/>
    </xf>
    <xf numFmtId="166" fontId="16" fillId="0" borderId="6" xfId="7" applyNumberFormat="1" applyFont="1" applyBorder="1" applyAlignment="1" applyProtection="1">
      <alignment horizontal="center" wrapText="1"/>
      <protection locked="0"/>
    </xf>
    <xf numFmtId="0" fontId="32" fillId="0" borderId="0" xfId="7" applyFont="1" applyAlignment="1">
      <alignment wrapText="1"/>
    </xf>
  </cellXfs>
  <cellStyles count="11">
    <cellStyle name="Comma" xfId="10" builtinId="3"/>
    <cellStyle name="Date" xfId="3" xr:uid="{00000000-0005-0000-0000-000000000000}"/>
    <cellStyle name="Followed Hyperlink" xfId="6" builtinId="9" customBuiltin="1"/>
    <cellStyle name="Heading 1 2" xfId="9" xr:uid="{FC88FDFD-5EA3-404F-AE43-536FCBC1A5F5}"/>
    <cellStyle name="Heading 2 2" xfId="8" xr:uid="{555449AD-E8ED-426B-921B-BF3F0E6AF37A}"/>
    <cellStyle name="Hyperlink" xfId="5" builtinId="8" customBuiltin="1"/>
    <cellStyle name="Normal" xfId="0" builtinId="0" customBuiltin="1"/>
    <cellStyle name="Normal 2" xfId="7" xr:uid="{FD80B64D-2915-42A3-A099-00A579A98803}"/>
    <cellStyle name="Phone" xfId="2" xr:uid="{00000000-0005-0000-0000-000004000000}"/>
    <cellStyle name="Table Header" xfId="4" xr:uid="{00000000-0005-0000-0000-000005000000}"/>
    <cellStyle name="Title" xfId="1" builtinId="15" customBuiltin="1"/>
  </cellStyles>
  <dxfs count="2">
    <dxf>
      <font>
        <b/>
        <i val="0"/>
      </font>
    </dxf>
    <dxf>
      <font>
        <color theme="4"/>
      </font>
      <fill>
        <patternFill>
          <bgColor theme="0"/>
        </patternFill>
      </fill>
      <border>
        <left style="thin">
          <color theme="4"/>
        </left>
        <right style="thin">
          <color theme="4"/>
        </right>
        <bottom style="thin">
          <color theme="4"/>
        </bottom>
        <vertical style="thin">
          <color theme="4"/>
        </vertical>
        <horizontal style="thin">
          <color theme="4"/>
        </horizontal>
      </border>
    </dxf>
  </dxfs>
  <tableStyles count="1" defaultTableStyle="Custom Table Style" defaultPivotStyle="PivotStyleLight1">
    <tableStyle name="Custom Table Style" pivot="0" count="2" xr9:uid="{00000000-0011-0000-FFFF-FFFF00000000}">
      <tableStyleElement type="wholeTable" dxfId="1"/>
      <tableStyleElement type="firstColumn" dxfId="0"/>
    </tableStyle>
  </tableStyles>
  <colors>
    <mruColors>
      <color rgb="FF71DA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E:\Hadi\powerbi\templates\Excels\Monthly%20college%20budget1.xlsx" TargetMode="External"/><Relationship Id="rId1" Type="http://schemas.openxmlformats.org/officeDocument/2006/relationships/externalLinkPath" Target="file:///E:\Hadi\powerbi\templates\Excels\Monthly%20college%20budget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onthly College Budget"/>
      <sheetName val="chart_calcs"/>
    </sheetNames>
    <sheetDataSet>
      <sheetData sheetId="0"/>
      <sheetData sheetId="1">
        <row r="13">
          <cell r="D13">
            <v>3</v>
          </cell>
        </row>
      </sheetData>
    </sheetDataSet>
  </externalBook>
</externalLink>
</file>

<file path=xl/theme/theme1.xml><?xml version="1.0" encoding="utf-8"?>
<a:theme xmlns:a="http://schemas.openxmlformats.org/drawingml/2006/main" name="Slice">
  <a:themeElements>
    <a:clrScheme name="Slice">
      <a:dk1>
        <a:sysClr val="windowText" lastClr="000000"/>
      </a:dk1>
      <a:lt1>
        <a:sysClr val="window" lastClr="FFFFFF"/>
      </a:lt1>
      <a:dk2>
        <a:srgbClr val="146194"/>
      </a:dk2>
      <a:lt2>
        <a:srgbClr val="76DBF4"/>
      </a:lt2>
      <a:accent1>
        <a:srgbClr val="052F61"/>
      </a:accent1>
      <a:accent2>
        <a:srgbClr val="A50E82"/>
      </a:accent2>
      <a:accent3>
        <a:srgbClr val="14967C"/>
      </a:accent3>
      <a:accent4>
        <a:srgbClr val="6A9E1F"/>
      </a:accent4>
      <a:accent5>
        <a:srgbClr val="E87D37"/>
      </a:accent5>
      <a:accent6>
        <a:srgbClr val="C62324"/>
      </a:accent6>
      <a:hlink>
        <a:srgbClr val="0D2E46"/>
      </a:hlink>
      <a:folHlink>
        <a:srgbClr val="356A95"/>
      </a:folHlink>
    </a:clrScheme>
    <a:fontScheme name="Slice">
      <a:majorFont>
        <a:latin typeface="Century Gothic" panose="020B0502020202020204"/>
        <a:ea typeface=""/>
        <a:cs typeface=""/>
        <a:font script="Jpan" typeface="メイリオ"/>
        <a:font script="Hang" typeface="HY중고딕"/>
        <a:font script="Hans" typeface="幼圆"/>
        <a:font script="Hant" typeface="微軟正黑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entury Gothic" panose="020B0502020202020204"/>
        <a:ea typeface=""/>
        <a:cs typeface=""/>
        <a:font script="Jpan" typeface="メイリオ"/>
        <a:font script="Hang" typeface="HY중고딕"/>
        <a:font script="Hans" typeface="幼圆"/>
        <a:font script="Hant" typeface="微軟正黑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Slice">
      <a:fillStyleLst>
        <a:solidFill>
          <a:schemeClr val="phClr"/>
        </a:solidFill>
        <a:gradFill rotWithShape="1">
          <a:gsLst>
            <a:gs pos="0">
              <a:schemeClr val="phClr">
                <a:tint val="62000"/>
                <a:hueMod val="94000"/>
                <a:satMod val="140000"/>
                <a:lumMod val="110000"/>
              </a:schemeClr>
            </a:gs>
            <a:gs pos="100000">
              <a:schemeClr val="phClr">
                <a:tint val="84000"/>
                <a:satMod val="160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8000"/>
                <a:hueMod val="94000"/>
                <a:satMod val="130000"/>
                <a:lumMod val="128000"/>
              </a:schemeClr>
            </a:gs>
            <a:gs pos="100000">
              <a:schemeClr val="phClr">
                <a:shade val="94000"/>
                <a:lumMod val="88000"/>
              </a:schemeClr>
            </a:gs>
          </a:gsLst>
          <a:lin ang="5400000" scaled="0"/>
        </a:gradFill>
      </a:fillStyleLst>
      <a:lnStyleLst>
        <a:ln w="9525" cap="rnd" cmpd="sng" algn="ctr">
          <a:solidFill>
            <a:schemeClr val="phClr">
              <a:tint val="76000"/>
              <a:alpha val="60000"/>
              <a:hueMod val="94000"/>
            </a:schemeClr>
          </a:solidFill>
          <a:prstDash val="solid"/>
        </a:ln>
        <a:ln w="15875" cap="rnd" cmpd="sng" algn="ctr">
          <a:solidFill>
            <a:schemeClr val="phClr">
              <a:hueMod val="94000"/>
            </a:schemeClr>
          </a:solidFill>
          <a:prstDash val="solid"/>
        </a:ln>
        <a:ln w="28575" cap="rnd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innerShdw blurRad="25400" dist="12700" dir="13500000">
              <a:srgbClr val="000000">
                <a:alpha val="45000"/>
              </a:srgbClr>
            </a:innerShdw>
          </a:effectLst>
        </a:effectStyle>
        <a:effectStyle>
          <a:effectLst>
            <a:outerShdw blurRad="50800" dist="38100" dir="5400000" rotWithShape="0">
              <a:srgbClr val="000000">
                <a:alpha val="46000"/>
              </a:srgbClr>
            </a:outerShdw>
          </a:effectLst>
          <a:scene3d>
            <a:camera prst="orthographicFront">
              <a:rot lat="0" lon="0" rev="0"/>
            </a:camera>
            <a:lightRig rig="threePt" dir="t"/>
          </a:scene3d>
          <a:sp3d prstMaterial="plastic">
            <a:bevelT w="25400" h="25400"/>
          </a:sp3d>
        </a:effectStyle>
      </a:effectStyleLst>
      <a:bgFillStyleLst>
        <a:solidFill>
          <a:schemeClr val="phClr"/>
        </a:solidFill>
        <a:gradFill rotWithShape="1">
          <a:gsLst>
            <a:gs pos="10000">
              <a:schemeClr val="phClr">
                <a:tint val="97000"/>
                <a:hueMod val="92000"/>
                <a:satMod val="169000"/>
                <a:lumMod val="164000"/>
              </a:schemeClr>
            </a:gs>
            <a:gs pos="100000">
              <a:schemeClr val="phClr">
                <a:shade val="96000"/>
                <a:satMod val="120000"/>
                <a:lumMod val="90000"/>
              </a:schemeClr>
            </a:gs>
          </a:gsLst>
          <a:lin ang="6120000" scaled="1"/>
        </a:gradFill>
        <a:gradFill rotWithShape="1">
          <a:gsLst>
            <a:gs pos="0">
              <a:schemeClr val="phClr">
                <a:tint val="97000"/>
                <a:hueMod val="92000"/>
                <a:satMod val="169000"/>
                <a:lumMod val="164000"/>
              </a:schemeClr>
            </a:gs>
            <a:gs pos="100000">
              <a:schemeClr val="phClr">
                <a:shade val="96000"/>
                <a:satMod val="120000"/>
                <a:lumMod val="90000"/>
              </a:schemeClr>
            </a:gs>
          </a:gsLst>
          <a:path path="circle">
            <a:fillToRect b="100000"/>
          </a:path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Slice" id="{0507925B-6AC9-4358-8E18-C330545D08F8}" vid="{13FEC7C6-62A9-40C4-99D2-581AACACAA2F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8B07B1-D814-459D-A1FA-1274B1CF6241}">
  <sheetPr>
    <tabColor theme="4"/>
    <pageSetUpPr fitToPage="1"/>
  </sheetPr>
  <dimension ref="A1:T45"/>
  <sheetViews>
    <sheetView showGridLines="0" zoomScale="98" zoomScaleNormal="98" workbookViewId="0">
      <pane xSplit="1" ySplit="2" topLeftCell="B36" activePane="bottomRight" state="frozen"/>
      <selection pane="topRight" activeCell="B1" sqref="B1"/>
      <selection pane="bottomLeft" activeCell="A3" sqref="A3"/>
      <selection pane="bottomRight" activeCell="L50" sqref="L50"/>
    </sheetView>
  </sheetViews>
  <sheetFormatPr defaultRowHeight="19.5" customHeight="1" x14ac:dyDescent="0.5"/>
  <cols>
    <col min="1" max="1" width="13.77734375" style="8" customWidth="1"/>
    <col min="2" max="2" width="11.109375" style="1" bestFit="1" customWidth="1"/>
    <col min="3" max="3" width="12.109375" style="1" bestFit="1" customWidth="1"/>
    <col min="4" max="6" width="13.21875" style="1" bestFit="1" customWidth="1"/>
    <col min="7" max="7" width="8.77734375" style="1" customWidth="1"/>
    <col min="8" max="8" width="9.21875" style="1" customWidth="1"/>
    <col min="9" max="9" width="14.5546875" style="1" bestFit="1" customWidth="1"/>
    <col min="10" max="10" width="12.109375" style="1" bestFit="1" customWidth="1"/>
    <col min="11" max="11" width="13.44140625" style="1" bestFit="1" customWidth="1"/>
    <col min="12" max="12" width="13" style="1" bestFit="1" customWidth="1"/>
    <col min="13" max="13" width="12" style="1" customWidth="1"/>
    <col min="14" max="14" width="10.5546875" style="1" hidden="1" customWidth="1"/>
    <col min="15" max="15" width="10.5546875" style="6" hidden="1" customWidth="1"/>
    <col min="16" max="16" width="17.21875" style="1" customWidth="1"/>
    <col min="17" max="16384" width="8.88671875" style="1"/>
  </cols>
  <sheetData>
    <row r="1" spans="1:20" ht="19.5" customHeight="1" thickTop="1" thickBot="1" x14ac:dyDescent="0.35">
      <c r="A1" s="96">
        <v>140206</v>
      </c>
      <c r="B1" s="103" t="s">
        <v>538</v>
      </c>
      <c r="C1" s="103"/>
      <c r="D1" s="103"/>
      <c r="E1" s="103"/>
      <c r="F1" s="103"/>
      <c r="G1" s="103"/>
      <c r="H1" s="103"/>
      <c r="I1" s="104" t="s">
        <v>546</v>
      </c>
      <c r="J1" s="104"/>
      <c r="K1" s="104"/>
      <c r="L1" s="104"/>
      <c r="M1" s="104"/>
      <c r="N1" s="11"/>
      <c r="O1" s="12"/>
    </row>
    <row r="2" spans="1:20" s="5" customFormat="1" ht="42.75" customHeight="1" thickTop="1" thickBot="1" x14ac:dyDescent="0.3">
      <c r="A2" s="96" t="s">
        <v>62</v>
      </c>
      <c r="B2" s="97" t="s">
        <v>254</v>
      </c>
      <c r="C2" s="98" t="s">
        <v>255</v>
      </c>
      <c r="D2" s="98" t="s">
        <v>256</v>
      </c>
      <c r="E2" s="98" t="s">
        <v>257</v>
      </c>
      <c r="F2" s="98" t="s">
        <v>258</v>
      </c>
      <c r="G2" s="99" t="s">
        <v>259</v>
      </c>
      <c r="H2" s="100" t="s">
        <v>260</v>
      </c>
      <c r="I2" s="97" t="s">
        <v>539</v>
      </c>
      <c r="J2" s="101" t="s">
        <v>255</v>
      </c>
      <c r="K2" s="98" t="s">
        <v>540</v>
      </c>
      <c r="L2" s="98" t="s">
        <v>541</v>
      </c>
      <c r="M2" s="102" t="s">
        <v>542</v>
      </c>
      <c r="N2" s="16" t="s">
        <v>544</v>
      </c>
      <c r="O2" s="13" t="s">
        <v>543</v>
      </c>
      <c r="Q2" s="4"/>
      <c r="R2" s="4"/>
      <c r="S2" s="3"/>
      <c r="T2" s="3"/>
    </row>
    <row r="3" spans="1:20" s="7" customFormat="1" ht="19.5" customHeight="1" thickTop="1" thickBot="1" x14ac:dyDescent="0.6">
      <c r="A3" s="15" t="s">
        <v>112</v>
      </c>
      <c r="B3" s="27">
        <v>49</v>
      </c>
      <c r="C3" s="28">
        <v>255</v>
      </c>
      <c r="D3" s="28">
        <v>74</v>
      </c>
      <c r="E3" s="29">
        <v>0.10486111111111111</v>
      </c>
      <c r="F3" s="29">
        <v>0.34236111111111112</v>
      </c>
      <c r="G3" s="24">
        <v>15</v>
      </c>
      <c r="H3" s="26">
        <v>-17</v>
      </c>
      <c r="I3" s="17">
        <v>16</v>
      </c>
      <c r="J3" s="18">
        <v>33</v>
      </c>
      <c r="K3" s="18">
        <v>50</v>
      </c>
      <c r="L3" s="19">
        <v>0.15</v>
      </c>
      <c r="M3" s="20">
        <v>0.55833333333333335</v>
      </c>
      <c r="N3" s="21">
        <v>2</v>
      </c>
      <c r="O3" s="22">
        <v>47</v>
      </c>
    </row>
    <row r="4" spans="1:20" s="7" customFormat="1" ht="19.5" customHeight="1" thickTop="1" thickBot="1" x14ac:dyDescent="0.6">
      <c r="A4" s="15" t="s">
        <v>111</v>
      </c>
      <c r="B4" s="27">
        <v>38</v>
      </c>
      <c r="C4" s="28">
        <v>161</v>
      </c>
      <c r="D4" s="28">
        <v>72</v>
      </c>
      <c r="E4" s="29">
        <v>3.888888888888889E-2</v>
      </c>
      <c r="F4" s="29">
        <v>0.38819444444444445</v>
      </c>
      <c r="G4" s="24">
        <v>5</v>
      </c>
      <c r="H4" s="26">
        <v>-21</v>
      </c>
      <c r="I4" s="17">
        <v>14</v>
      </c>
      <c r="J4" s="18">
        <v>24</v>
      </c>
      <c r="K4" s="18">
        <v>37</v>
      </c>
      <c r="L4" s="19">
        <v>4.027777777777778E-2</v>
      </c>
      <c r="M4" s="20">
        <v>0.48819444444444443</v>
      </c>
      <c r="N4" s="21">
        <v>0</v>
      </c>
      <c r="O4" s="22">
        <v>22</v>
      </c>
    </row>
    <row r="5" spans="1:20" s="7" customFormat="1" ht="19.5" customHeight="1" thickTop="1" thickBot="1" x14ac:dyDescent="0.6">
      <c r="A5" s="15" t="s">
        <v>107</v>
      </c>
      <c r="B5" s="27">
        <v>74</v>
      </c>
      <c r="C5" s="28">
        <v>366</v>
      </c>
      <c r="D5" s="28">
        <v>71</v>
      </c>
      <c r="E5" s="29">
        <v>7.0833333333333331E-2</v>
      </c>
      <c r="F5" s="29">
        <v>0.3034722222222222</v>
      </c>
      <c r="G5" s="24">
        <v>9</v>
      </c>
      <c r="H5" s="26">
        <v>-59</v>
      </c>
      <c r="I5" s="17">
        <v>4</v>
      </c>
      <c r="J5" s="18">
        <v>4</v>
      </c>
      <c r="K5" s="18">
        <v>51</v>
      </c>
      <c r="L5" s="19">
        <v>4.9999999999999996E-2</v>
      </c>
      <c r="M5" s="20">
        <v>0.49652777777777773</v>
      </c>
      <c r="N5" s="21">
        <v>0</v>
      </c>
      <c r="O5" s="22">
        <v>35</v>
      </c>
    </row>
    <row r="6" spans="1:20" s="7" customFormat="1" ht="19.5" customHeight="1" thickTop="1" thickBot="1" x14ac:dyDescent="0.6">
      <c r="A6" s="15" t="s">
        <v>106</v>
      </c>
      <c r="B6" s="27">
        <v>64</v>
      </c>
      <c r="C6" s="28">
        <v>338</v>
      </c>
      <c r="D6" s="28">
        <v>67</v>
      </c>
      <c r="E6" s="29">
        <v>9.9999999999999992E-2</v>
      </c>
      <c r="F6" s="29">
        <v>0.30624999999999997</v>
      </c>
      <c r="G6" s="24">
        <v>13</v>
      </c>
      <c r="H6" s="26">
        <v>-47</v>
      </c>
      <c r="I6" s="17">
        <v>15</v>
      </c>
      <c r="J6" s="18">
        <v>38</v>
      </c>
      <c r="K6" s="18">
        <v>42</v>
      </c>
      <c r="L6" s="19">
        <v>9.6527777777777768E-2</v>
      </c>
      <c r="M6" s="20">
        <v>0.52986111111111112</v>
      </c>
      <c r="N6" s="21">
        <v>0</v>
      </c>
      <c r="O6" s="22">
        <v>34</v>
      </c>
    </row>
    <row r="7" spans="1:20" s="7" customFormat="1" ht="19.5" customHeight="1" thickTop="1" thickBot="1" x14ac:dyDescent="0.6">
      <c r="A7" s="15" t="s">
        <v>115</v>
      </c>
      <c r="B7" s="27">
        <v>22</v>
      </c>
      <c r="C7" s="28">
        <v>94</v>
      </c>
      <c r="D7" s="28">
        <v>65</v>
      </c>
      <c r="E7" s="29">
        <v>0.11388888888888889</v>
      </c>
      <c r="F7" s="29">
        <v>0.37638888888888888</v>
      </c>
      <c r="G7" s="24">
        <v>2</v>
      </c>
      <c r="H7" s="26">
        <v>-8</v>
      </c>
      <c r="I7" s="17">
        <v>0</v>
      </c>
      <c r="J7" s="18">
        <v>0</v>
      </c>
      <c r="K7" s="18">
        <v>0</v>
      </c>
      <c r="L7" s="19"/>
      <c r="M7" s="20"/>
      <c r="N7" s="21">
        <v>0</v>
      </c>
      <c r="O7" s="22">
        <v>6</v>
      </c>
    </row>
    <row r="8" spans="1:20" s="7" customFormat="1" ht="19.5" customHeight="1" thickTop="1" thickBot="1" x14ac:dyDescent="0.6">
      <c r="A8" s="15" t="s">
        <v>108</v>
      </c>
      <c r="B8" s="27">
        <v>81</v>
      </c>
      <c r="C8" s="28">
        <v>437</v>
      </c>
      <c r="D8" s="28">
        <v>65</v>
      </c>
      <c r="E8" s="29">
        <v>4.0972222222222222E-2</v>
      </c>
      <c r="F8" s="29">
        <v>0.38194444444444442</v>
      </c>
      <c r="G8" s="24">
        <v>22</v>
      </c>
      <c r="H8" s="26">
        <v>-50</v>
      </c>
      <c r="I8" s="17">
        <v>13</v>
      </c>
      <c r="J8" s="18">
        <v>25</v>
      </c>
      <c r="K8" s="18">
        <v>59</v>
      </c>
      <c r="L8" s="19">
        <v>2.2222222222222223E-2</v>
      </c>
      <c r="M8" s="20">
        <v>0.50277777777777777</v>
      </c>
      <c r="N8" s="21">
        <v>0</v>
      </c>
      <c r="O8" s="22">
        <v>59</v>
      </c>
    </row>
    <row r="9" spans="1:20" s="7" customFormat="1" ht="19.5" customHeight="1" thickTop="1" thickBot="1" x14ac:dyDescent="0.6">
      <c r="A9" s="15" t="s">
        <v>237</v>
      </c>
      <c r="B9" s="27">
        <v>25</v>
      </c>
      <c r="C9" s="28">
        <v>104</v>
      </c>
      <c r="D9" s="28">
        <v>65</v>
      </c>
      <c r="E9" s="29">
        <v>3.6111111111111115E-2</v>
      </c>
      <c r="F9" s="29">
        <v>0.53263888888888888</v>
      </c>
      <c r="G9" s="24">
        <v>0</v>
      </c>
      <c r="H9" s="26">
        <v>-13</v>
      </c>
      <c r="I9" s="17">
        <v>0</v>
      </c>
      <c r="J9" s="18">
        <v>0</v>
      </c>
      <c r="K9" s="18">
        <v>0</v>
      </c>
      <c r="L9" s="19"/>
      <c r="M9" s="20"/>
      <c r="N9" s="21">
        <v>0</v>
      </c>
      <c r="O9" s="22">
        <v>9</v>
      </c>
    </row>
    <row r="10" spans="1:20" s="7" customFormat="1" ht="19.5" customHeight="1" thickTop="1" thickBot="1" x14ac:dyDescent="0.55000000000000004">
      <c r="A10" s="14" t="s">
        <v>119</v>
      </c>
      <c r="B10" s="23">
        <v>42</v>
      </c>
      <c r="C10" s="24">
        <v>189</v>
      </c>
      <c r="D10" s="24">
        <v>64</v>
      </c>
      <c r="E10" s="25">
        <v>8.819444444444445E-2</v>
      </c>
      <c r="F10" s="25">
        <v>0.3347222222222222</v>
      </c>
      <c r="G10" s="24">
        <v>1</v>
      </c>
      <c r="H10" s="26">
        <v>-24</v>
      </c>
      <c r="I10" s="17">
        <v>0</v>
      </c>
      <c r="J10" s="18">
        <v>0</v>
      </c>
      <c r="K10" s="18">
        <v>0</v>
      </c>
      <c r="L10" s="19"/>
      <c r="M10" s="20"/>
      <c r="N10" s="21">
        <v>0</v>
      </c>
      <c r="O10" s="22">
        <v>31</v>
      </c>
    </row>
    <row r="11" spans="1:20" s="7" customFormat="1" ht="19.5" customHeight="1" thickTop="1" thickBot="1" x14ac:dyDescent="0.6">
      <c r="A11" s="15" t="s">
        <v>113</v>
      </c>
      <c r="B11" s="27">
        <v>114</v>
      </c>
      <c r="C11" s="28">
        <v>423</v>
      </c>
      <c r="D11" s="28">
        <v>62</v>
      </c>
      <c r="E11" s="29">
        <v>9.6527777777777768E-2</v>
      </c>
      <c r="F11" s="29">
        <v>0.34652777777777777</v>
      </c>
      <c r="G11" s="24">
        <v>9</v>
      </c>
      <c r="H11" s="26">
        <v>-42</v>
      </c>
      <c r="I11" s="17">
        <v>14</v>
      </c>
      <c r="J11" s="18">
        <v>29</v>
      </c>
      <c r="K11" s="18">
        <v>34</v>
      </c>
      <c r="L11" s="19">
        <v>6.458333333333334E-2</v>
      </c>
      <c r="M11" s="20">
        <v>0.4201388888888889</v>
      </c>
      <c r="N11" s="21">
        <v>2</v>
      </c>
      <c r="O11" s="22">
        <v>25</v>
      </c>
    </row>
    <row r="12" spans="1:20" s="7" customFormat="1" ht="19.5" customHeight="1" thickTop="1" thickBot="1" x14ac:dyDescent="0.55000000000000004">
      <c r="A12" s="14" t="s">
        <v>236</v>
      </c>
      <c r="B12" s="23">
        <v>16</v>
      </c>
      <c r="C12" s="24">
        <v>65</v>
      </c>
      <c r="D12" s="24">
        <v>62</v>
      </c>
      <c r="E12" s="25">
        <v>9.5138888888888884E-2</v>
      </c>
      <c r="F12" s="25">
        <v>0.34166666666666662</v>
      </c>
      <c r="G12" s="24">
        <v>2</v>
      </c>
      <c r="H12" s="26">
        <v>-5</v>
      </c>
      <c r="I12" s="17">
        <v>0</v>
      </c>
      <c r="J12" s="18">
        <v>0</v>
      </c>
      <c r="K12" s="18">
        <v>0</v>
      </c>
      <c r="L12" s="19"/>
      <c r="M12" s="20"/>
      <c r="N12" s="21">
        <v>0</v>
      </c>
      <c r="O12" s="22">
        <v>7</v>
      </c>
    </row>
    <row r="13" spans="1:20" s="7" customFormat="1" ht="19.5" customHeight="1" thickTop="1" thickBot="1" x14ac:dyDescent="0.6">
      <c r="A13" s="15" t="s">
        <v>110</v>
      </c>
      <c r="B13" s="27">
        <v>43</v>
      </c>
      <c r="C13" s="28">
        <v>213</v>
      </c>
      <c r="D13" s="28">
        <v>61</v>
      </c>
      <c r="E13" s="29">
        <v>9.9999999999999992E-2</v>
      </c>
      <c r="F13" s="29">
        <v>0.3659722222222222</v>
      </c>
      <c r="G13" s="24">
        <v>6</v>
      </c>
      <c r="H13" s="26">
        <v>-29</v>
      </c>
      <c r="I13" s="17">
        <v>13</v>
      </c>
      <c r="J13" s="18">
        <v>34</v>
      </c>
      <c r="K13" s="18">
        <v>33</v>
      </c>
      <c r="L13" s="19">
        <v>1.0416666666666666E-2</v>
      </c>
      <c r="M13" s="20">
        <v>0.38611111111111113</v>
      </c>
      <c r="N13" s="21">
        <v>0</v>
      </c>
      <c r="O13" s="22">
        <v>27</v>
      </c>
    </row>
    <row r="14" spans="1:20" s="7" customFormat="1" ht="19.5" customHeight="1" thickTop="1" thickBot="1" x14ac:dyDescent="0.55000000000000004">
      <c r="A14" s="14" t="s">
        <v>249</v>
      </c>
      <c r="B14" s="23">
        <v>13</v>
      </c>
      <c r="C14" s="24">
        <v>53</v>
      </c>
      <c r="D14" s="24">
        <v>60</v>
      </c>
      <c r="E14" s="25">
        <v>4.027777777777778E-2</v>
      </c>
      <c r="F14" s="25">
        <v>0.53055555555555556</v>
      </c>
      <c r="G14" s="24">
        <v>1</v>
      </c>
      <c r="H14" s="26">
        <v>-2</v>
      </c>
      <c r="I14" s="17">
        <v>8</v>
      </c>
      <c r="J14" s="18">
        <v>10</v>
      </c>
      <c r="K14" s="18">
        <v>27</v>
      </c>
      <c r="L14" s="19">
        <v>6.6666666666666666E-2</v>
      </c>
      <c r="M14" s="20">
        <v>0.53611111111111109</v>
      </c>
      <c r="N14" s="21">
        <v>1</v>
      </c>
      <c r="O14" s="22">
        <v>8</v>
      </c>
    </row>
    <row r="15" spans="1:20" s="7" customFormat="1" ht="19.5" customHeight="1" thickTop="1" thickBot="1" x14ac:dyDescent="0.6">
      <c r="A15" s="15" t="s">
        <v>232</v>
      </c>
      <c r="B15" s="27">
        <v>115</v>
      </c>
      <c r="C15" s="28">
        <v>490</v>
      </c>
      <c r="D15" s="28">
        <v>59</v>
      </c>
      <c r="E15" s="29">
        <v>9.0972222222222218E-2</v>
      </c>
      <c r="F15" s="29">
        <v>0.42291666666666666</v>
      </c>
      <c r="G15" s="24">
        <v>8</v>
      </c>
      <c r="H15" s="26">
        <v>-48</v>
      </c>
      <c r="I15" s="17">
        <v>14</v>
      </c>
      <c r="J15" s="18">
        <v>52</v>
      </c>
      <c r="K15" s="18">
        <v>25</v>
      </c>
      <c r="L15" s="19">
        <v>6.458333333333334E-2</v>
      </c>
      <c r="M15" s="20">
        <v>0.66111111111111109</v>
      </c>
      <c r="N15" s="21">
        <v>1</v>
      </c>
      <c r="O15" s="22">
        <v>49</v>
      </c>
    </row>
    <row r="16" spans="1:20" s="7" customFormat="1" ht="19.5" customHeight="1" thickTop="1" thickBot="1" x14ac:dyDescent="0.6">
      <c r="A16" s="15" t="s">
        <v>117</v>
      </c>
      <c r="B16" s="27">
        <v>37</v>
      </c>
      <c r="C16" s="28">
        <v>121</v>
      </c>
      <c r="D16" s="28">
        <v>58</v>
      </c>
      <c r="E16" s="29">
        <v>4.7222222222222221E-2</v>
      </c>
      <c r="F16" s="29">
        <v>0.4145833333333333</v>
      </c>
      <c r="G16" s="24">
        <v>4</v>
      </c>
      <c r="H16" s="26">
        <v>-16</v>
      </c>
      <c r="I16" s="17">
        <v>11</v>
      </c>
      <c r="J16" s="18">
        <v>25</v>
      </c>
      <c r="K16" s="18">
        <v>31</v>
      </c>
      <c r="L16" s="19">
        <v>2.2222222222222223E-2</v>
      </c>
      <c r="M16" s="20">
        <v>0.65208333333333335</v>
      </c>
      <c r="N16" s="21">
        <v>0</v>
      </c>
      <c r="O16" s="22">
        <v>21</v>
      </c>
    </row>
    <row r="17" spans="1:15" s="7" customFormat="1" ht="19.5" customHeight="1" thickTop="1" thickBot="1" x14ac:dyDescent="0.6">
      <c r="A17" s="15" t="s">
        <v>226</v>
      </c>
      <c r="B17" s="27">
        <v>59</v>
      </c>
      <c r="C17" s="28">
        <v>239</v>
      </c>
      <c r="D17" s="28">
        <v>56</v>
      </c>
      <c r="E17" s="29">
        <v>3.4027777777777775E-2</v>
      </c>
      <c r="F17" s="29">
        <v>0.5083333333333333</v>
      </c>
      <c r="G17" s="24">
        <v>0</v>
      </c>
      <c r="H17" s="26">
        <v>-38</v>
      </c>
      <c r="I17" s="17">
        <v>19</v>
      </c>
      <c r="J17" s="18">
        <v>41</v>
      </c>
      <c r="K17" s="18">
        <v>17</v>
      </c>
      <c r="L17" s="19">
        <v>2.8472222222222222E-2</v>
      </c>
      <c r="M17" s="20">
        <v>0.67847222222222225</v>
      </c>
      <c r="N17" s="21">
        <v>0</v>
      </c>
      <c r="O17" s="22">
        <v>37</v>
      </c>
    </row>
    <row r="18" spans="1:15" s="7" customFormat="1" ht="19.5" customHeight="1" thickTop="1" thickBot="1" x14ac:dyDescent="0.55000000000000004">
      <c r="A18" s="14" t="s">
        <v>114</v>
      </c>
      <c r="B18" s="23">
        <v>64</v>
      </c>
      <c r="C18" s="24">
        <v>335</v>
      </c>
      <c r="D18" s="24">
        <v>56</v>
      </c>
      <c r="E18" s="25">
        <v>5.1388888888888894E-2</v>
      </c>
      <c r="F18" s="25">
        <v>0.3444444444444445</v>
      </c>
      <c r="G18" s="24">
        <v>35</v>
      </c>
      <c r="H18" s="26">
        <v>-10</v>
      </c>
      <c r="I18" s="17">
        <v>9</v>
      </c>
      <c r="J18" s="18">
        <v>20</v>
      </c>
      <c r="K18" s="18">
        <v>46</v>
      </c>
      <c r="L18" s="19">
        <v>1.9444444444444445E-2</v>
      </c>
      <c r="M18" s="20">
        <v>0.36180555555555555</v>
      </c>
      <c r="N18" s="21">
        <v>0</v>
      </c>
      <c r="O18" s="22">
        <v>58</v>
      </c>
    </row>
    <row r="19" spans="1:15" s="7" customFormat="1" ht="19.5" customHeight="1" thickTop="1" thickBot="1" x14ac:dyDescent="0.55000000000000004">
      <c r="A19" s="14" t="s">
        <v>116</v>
      </c>
      <c r="B19" s="23">
        <v>51</v>
      </c>
      <c r="C19" s="24">
        <v>204</v>
      </c>
      <c r="D19" s="24">
        <v>54</v>
      </c>
      <c r="E19" s="25">
        <v>4.5138888888888888E-2</v>
      </c>
      <c r="F19" s="25">
        <v>0.45624999999999999</v>
      </c>
      <c r="G19" s="24">
        <v>0</v>
      </c>
      <c r="H19" s="26">
        <v>-24</v>
      </c>
      <c r="I19" s="17">
        <v>8</v>
      </c>
      <c r="J19" s="18">
        <v>15</v>
      </c>
      <c r="K19" s="18">
        <v>22</v>
      </c>
      <c r="L19" s="19">
        <v>4.6527777777777779E-2</v>
      </c>
      <c r="M19" s="20">
        <v>0.68888888888888899</v>
      </c>
      <c r="N19" s="21">
        <v>0</v>
      </c>
      <c r="O19" s="22">
        <v>20</v>
      </c>
    </row>
    <row r="20" spans="1:15" s="7" customFormat="1" ht="19.5" customHeight="1" thickTop="1" thickBot="1" x14ac:dyDescent="0.6">
      <c r="A20" s="15" t="s">
        <v>244</v>
      </c>
      <c r="B20" s="27">
        <v>35</v>
      </c>
      <c r="C20" s="28">
        <v>133</v>
      </c>
      <c r="D20" s="28">
        <v>54</v>
      </c>
      <c r="E20" s="29">
        <v>6.2499999999999995E-3</v>
      </c>
      <c r="F20" s="29">
        <v>0.47500000000000003</v>
      </c>
      <c r="G20" s="24">
        <v>2</v>
      </c>
      <c r="H20" s="26">
        <v>-9</v>
      </c>
      <c r="I20" s="17">
        <v>7</v>
      </c>
      <c r="J20" s="18">
        <v>18</v>
      </c>
      <c r="K20" s="18">
        <v>31</v>
      </c>
      <c r="L20" s="19">
        <v>6.9444444444444447E-4</v>
      </c>
      <c r="M20" s="20">
        <v>0.39652777777777781</v>
      </c>
      <c r="N20" s="21">
        <v>0</v>
      </c>
      <c r="O20" s="22">
        <v>16</v>
      </c>
    </row>
    <row r="21" spans="1:15" s="7" customFormat="1" ht="19.5" customHeight="1" thickTop="1" thickBot="1" x14ac:dyDescent="0.6">
      <c r="A21" s="15" t="s">
        <v>227</v>
      </c>
      <c r="B21" s="27">
        <v>19</v>
      </c>
      <c r="C21" s="28">
        <v>73</v>
      </c>
      <c r="D21" s="28">
        <v>53</v>
      </c>
      <c r="E21" s="29">
        <v>1.3888888888888888E-2</v>
      </c>
      <c r="F21" s="29">
        <v>0.37916666666666665</v>
      </c>
      <c r="G21" s="24">
        <v>4</v>
      </c>
      <c r="H21" s="26">
        <v>0</v>
      </c>
      <c r="I21" s="17">
        <v>1</v>
      </c>
      <c r="J21" s="18">
        <v>5</v>
      </c>
      <c r="K21" s="18">
        <v>22</v>
      </c>
      <c r="L21" s="19">
        <v>6.9444444444444447E-4</v>
      </c>
      <c r="M21" s="20">
        <v>0.49374999999999997</v>
      </c>
      <c r="N21" s="21">
        <v>0</v>
      </c>
      <c r="O21" s="22">
        <v>1</v>
      </c>
    </row>
    <row r="22" spans="1:15" s="7" customFormat="1" ht="19.5" customHeight="1" thickTop="1" thickBot="1" x14ac:dyDescent="0.6">
      <c r="A22" s="15" t="s">
        <v>109</v>
      </c>
      <c r="B22" s="27">
        <v>69</v>
      </c>
      <c r="C22" s="28">
        <v>283</v>
      </c>
      <c r="D22" s="28">
        <v>51</v>
      </c>
      <c r="E22" s="29">
        <v>2.4999999999999998E-2</v>
      </c>
      <c r="F22" s="29">
        <v>0.33124999999999999</v>
      </c>
      <c r="G22" s="24">
        <v>5</v>
      </c>
      <c r="H22" s="26">
        <v>-35</v>
      </c>
      <c r="I22" s="17">
        <v>14</v>
      </c>
      <c r="J22" s="18">
        <v>28</v>
      </c>
      <c r="K22" s="18">
        <v>27</v>
      </c>
      <c r="L22" s="19">
        <v>1.3888888888888888E-2</v>
      </c>
      <c r="M22" s="20">
        <v>0.4465277777777778</v>
      </c>
      <c r="N22" s="21">
        <v>0</v>
      </c>
      <c r="O22" s="22">
        <v>26</v>
      </c>
    </row>
    <row r="23" spans="1:15" s="7" customFormat="1" ht="19.5" customHeight="1" thickTop="1" thickBot="1" x14ac:dyDescent="0.55000000000000004">
      <c r="A23" s="14" t="s">
        <v>241</v>
      </c>
      <c r="B23" s="23">
        <v>31</v>
      </c>
      <c r="C23" s="24">
        <v>127</v>
      </c>
      <c r="D23" s="24">
        <v>50</v>
      </c>
      <c r="E23" s="25">
        <v>7.2222222222222229E-2</v>
      </c>
      <c r="F23" s="25">
        <v>0.39513888888888887</v>
      </c>
      <c r="G23" s="24">
        <v>3</v>
      </c>
      <c r="H23" s="26">
        <v>-10</v>
      </c>
      <c r="I23" s="17">
        <v>1</v>
      </c>
      <c r="J23" s="18">
        <v>5</v>
      </c>
      <c r="K23" s="18">
        <v>42</v>
      </c>
      <c r="L23" s="19">
        <v>1.5277777777777777E-2</v>
      </c>
      <c r="M23" s="20">
        <v>0.44236111111111115</v>
      </c>
      <c r="N23" s="21">
        <v>0</v>
      </c>
      <c r="O23" s="22">
        <v>17</v>
      </c>
    </row>
    <row r="24" spans="1:15" s="7" customFormat="1" ht="19.5" customHeight="1" thickTop="1" thickBot="1" x14ac:dyDescent="0.55000000000000004">
      <c r="A24" s="14" t="s">
        <v>243</v>
      </c>
      <c r="B24" s="30">
        <v>15</v>
      </c>
      <c r="C24" s="31">
        <v>66</v>
      </c>
      <c r="D24" s="31">
        <v>49</v>
      </c>
      <c r="E24" s="25">
        <v>1.3194444444444444E-2</v>
      </c>
      <c r="F24" s="25">
        <v>0.49652777777777773</v>
      </c>
      <c r="G24" s="24">
        <v>1</v>
      </c>
      <c r="H24" s="26">
        <v>-6</v>
      </c>
      <c r="I24" s="17">
        <v>4</v>
      </c>
      <c r="J24" s="18">
        <v>7</v>
      </c>
      <c r="K24" s="18">
        <v>18</v>
      </c>
      <c r="L24" s="19">
        <v>1.4583333333333332E-2</v>
      </c>
      <c r="M24" s="20">
        <v>0.42708333333333331</v>
      </c>
      <c r="N24" s="21">
        <v>0</v>
      </c>
      <c r="O24" s="22">
        <v>10</v>
      </c>
    </row>
    <row r="25" spans="1:15" s="7" customFormat="1" ht="19.5" customHeight="1" thickTop="1" thickBot="1" x14ac:dyDescent="0.6">
      <c r="A25" s="15" t="s">
        <v>245</v>
      </c>
      <c r="B25" s="27">
        <v>76</v>
      </c>
      <c r="C25" s="28">
        <v>350</v>
      </c>
      <c r="D25" s="28">
        <v>49</v>
      </c>
      <c r="E25" s="29">
        <v>1.8055555555555557E-2</v>
      </c>
      <c r="F25" s="29">
        <v>0.41944444444444445</v>
      </c>
      <c r="G25" s="24">
        <v>6</v>
      </c>
      <c r="H25" s="26">
        <v>-41</v>
      </c>
      <c r="I25" s="17">
        <v>16</v>
      </c>
      <c r="J25" s="18">
        <v>32</v>
      </c>
      <c r="K25" s="18">
        <v>32</v>
      </c>
      <c r="L25" s="19">
        <v>3.472222222222222E-3</v>
      </c>
      <c r="M25" s="20">
        <v>0.38958333333333334</v>
      </c>
      <c r="N25" s="21">
        <v>0</v>
      </c>
      <c r="O25" s="22">
        <v>30</v>
      </c>
    </row>
    <row r="26" spans="1:15" s="7" customFormat="1" ht="19.5" customHeight="1" thickTop="1" thickBot="1" x14ac:dyDescent="0.55000000000000004">
      <c r="A26" s="14" t="s">
        <v>248</v>
      </c>
      <c r="B26" s="23">
        <v>35</v>
      </c>
      <c r="C26" s="24">
        <v>174</v>
      </c>
      <c r="D26" s="24">
        <v>49</v>
      </c>
      <c r="E26" s="25">
        <v>1.0416666666666666E-2</v>
      </c>
      <c r="F26" s="25">
        <v>0.33055555555555555</v>
      </c>
      <c r="G26" s="24">
        <v>3</v>
      </c>
      <c r="H26" s="26">
        <v>-15</v>
      </c>
      <c r="I26" s="17">
        <v>16</v>
      </c>
      <c r="J26" s="18">
        <v>31</v>
      </c>
      <c r="K26" s="18">
        <v>31</v>
      </c>
      <c r="L26" s="19">
        <v>1.8749999999999999E-2</v>
      </c>
      <c r="M26" s="20">
        <v>0.57500000000000007</v>
      </c>
      <c r="N26" s="21">
        <v>0</v>
      </c>
      <c r="O26" s="22">
        <v>18</v>
      </c>
    </row>
    <row r="27" spans="1:15" s="7" customFormat="1" ht="19.5" customHeight="1" thickTop="1" thickBot="1" x14ac:dyDescent="0.6">
      <c r="A27" s="15" t="s">
        <v>251</v>
      </c>
      <c r="B27" s="27">
        <v>3</v>
      </c>
      <c r="C27" s="28">
        <v>15</v>
      </c>
      <c r="D27" s="28">
        <v>48</v>
      </c>
      <c r="E27" s="29">
        <v>3.9583333333333331E-2</v>
      </c>
      <c r="F27" s="29">
        <v>0.4145833333333333</v>
      </c>
      <c r="G27" s="24">
        <v>0</v>
      </c>
      <c r="H27" s="26">
        <v>0</v>
      </c>
      <c r="I27" s="17">
        <v>0</v>
      </c>
      <c r="J27" s="18">
        <v>0</v>
      </c>
      <c r="K27" s="18">
        <v>0</v>
      </c>
      <c r="L27" s="19"/>
      <c r="M27" s="20"/>
      <c r="N27" s="21">
        <v>0</v>
      </c>
      <c r="O27" s="22">
        <v>0</v>
      </c>
    </row>
    <row r="28" spans="1:15" s="7" customFormat="1" ht="19.5" customHeight="1" thickTop="1" thickBot="1" x14ac:dyDescent="0.55000000000000004">
      <c r="A28" s="14" t="s">
        <v>231</v>
      </c>
      <c r="B28" s="23">
        <v>23</v>
      </c>
      <c r="C28" s="24">
        <v>69</v>
      </c>
      <c r="D28" s="24">
        <v>46</v>
      </c>
      <c r="E28" s="25">
        <v>8.8888888888888892E-2</v>
      </c>
      <c r="F28" s="25">
        <v>0.44722222222222219</v>
      </c>
      <c r="G28" s="24">
        <v>1</v>
      </c>
      <c r="H28" s="26">
        <v>-6</v>
      </c>
      <c r="I28" s="17">
        <v>1</v>
      </c>
      <c r="J28" s="18">
        <v>1</v>
      </c>
      <c r="K28" s="18">
        <v>0</v>
      </c>
      <c r="L28" s="19">
        <v>6.0416666666666667E-2</v>
      </c>
      <c r="M28" s="20">
        <v>1.0694444444444444</v>
      </c>
      <c r="N28" s="21">
        <v>0</v>
      </c>
      <c r="O28" s="22">
        <v>17</v>
      </c>
    </row>
    <row r="29" spans="1:15" s="7" customFormat="1" ht="19.5" customHeight="1" thickTop="1" thickBot="1" x14ac:dyDescent="0.6">
      <c r="A29" s="15" t="s">
        <v>233</v>
      </c>
      <c r="B29" s="27">
        <v>10</v>
      </c>
      <c r="C29" s="28">
        <v>49</v>
      </c>
      <c r="D29" s="28">
        <v>46</v>
      </c>
      <c r="E29" s="29">
        <v>7.2222222222222229E-2</v>
      </c>
      <c r="F29" s="29">
        <v>0.56111111111111112</v>
      </c>
      <c r="G29" s="24">
        <v>1</v>
      </c>
      <c r="H29" s="26">
        <v>-2</v>
      </c>
      <c r="I29" s="17">
        <v>2</v>
      </c>
      <c r="J29" s="18">
        <v>2</v>
      </c>
      <c r="K29" s="18">
        <v>46</v>
      </c>
      <c r="L29" s="19">
        <v>9.3055555555555558E-2</v>
      </c>
      <c r="M29" s="20">
        <v>0.62013888888888891</v>
      </c>
      <c r="N29" s="21">
        <v>0</v>
      </c>
      <c r="O29" s="22">
        <v>9</v>
      </c>
    </row>
    <row r="30" spans="1:15" s="7" customFormat="1" ht="19.5" customHeight="1" thickTop="1" thickBot="1" x14ac:dyDescent="0.6">
      <c r="A30" s="15" t="s">
        <v>247</v>
      </c>
      <c r="B30" s="27">
        <v>13</v>
      </c>
      <c r="C30" s="28">
        <v>32</v>
      </c>
      <c r="D30" s="28">
        <v>46</v>
      </c>
      <c r="E30" s="29">
        <v>5.8333333333333327E-2</v>
      </c>
      <c r="F30" s="29">
        <v>0.43055555555555558</v>
      </c>
      <c r="G30" s="24">
        <v>0</v>
      </c>
      <c r="H30" s="26">
        <v>-4</v>
      </c>
      <c r="I30" s="17">
        <v>6</v>
      </c>
      <c r="J30" s="18">
        <v>15</v>
      </c>
      <c r="K30" s="18">
        <v>27</v>
      </c>
      <c r="L30" s="19">
        <v>2.9166666666666664E-2</v>
      </c>
      <c r="M30" s="20">
        <v>0.77222222222222225</v>
      </c>
      <c r="N30" s="21">
        <v>0</v>
      </c>
      <c r="O30" s="22">
        <v>10</v>
      </c>
    </row>
    <row r="31" spans="1:15" s="7" customFormat="1" ht="19.5" customHeight="1" thickTop="1" thickBot="1" x14ac:dyDescent="0.6">
      <c r="A31" s="15" t="s">
        <v>230</v>
      </c>
      <c r="B31" s="27">
        <v>11</v>
      </c>
      <c r="C31" s="28">
        <v>32</v>
      </c>
      <c r="D31" s="28">
        <v>45</v>
      </c>
      <c r="E31" s="29">
        <v>8.0555555555555561E-2</v>
      </c>
      <c r="F31" s="29">
        <v>0.26041666666666669</v>
      </c>
      <c r="G31" s="24">
        <v>1</v>
      </c>
      <c r="H31" s="26">
        <v>-1</v>
      </c>
      <c r="I31" s="17">
        <v>8</v>
      </c>
      <c r="J31" s="18">
        <v>15</v>
      </c>
      <c r="K31" s="18">
        <v>25</v>
      </c>
      <c r="L31" s="19">
        <v>3.1944444444444449E-2</v>
      </c>
      <c r="M31" s="20">
        <v>0.34791666666666665</v>
      </c>
      <c r="N31" s="21">
        <v>0</v>
      </c>
      <c r="O31" s="22">
        <v>5</v>
      </c>
    </row>
    <row r="32" spans="1:15" s="7" customFormat="1" ht="19.5" customHeight="1" thickTop="1" thickBot="1" x14ac:dyDescent="0.6">
      <c r="A32" s="15" t="s">
        <v>235</v>
      </c>
      <c r="B32" s="27">
        <v>29</v>
      </c>
      <c r="C32" s="28">
        <v>108</v>
      </c>
      <c r="D32" s="28">
        <v>45</v>
      </c>
      <c r="E32" s="29">
        <v>2.7083333333333334E-2</v>
      </c>
      <c r="F32" s="29">
        <v>0.58402777777777781</v>
      </c>
      <c r="G32" s="24">
        <v>1</v>
      </c>
      <c r="H32" s="26">
        <v>-5</v>
      </c>
      <c r="I32" s="17">
        <v>8</v>
      </c>
      <c r="J32" s="18">
        <v>20</v>
      </c>
      <c r="K32" s="18">
        <v>30</v>
      </c>
      <c r="L32" s="19">
        <v>1.9444444444444445E-2</v>
      </c>
      <c r="M32" s="20">
        <v>0.59236111111111112</v>
      </c>
      <c r="N32" s="21">
        <v>0</v>
      </c>
      <c r="O32" s="22">
        <v>26</v>
      </c>
    </row>
    <row r="33" spans="1:15" s="7" customFormat="1" ht="19.5" customHeight="1" thickTop="1" thickBot="1" x14ac:dyDescent="0.6">
      <c r="A33" s="15" t="s">
        <v>246</v>
      </c>
      <c r="B33" s="27">
        <v>25</v>
      </c>
      <c r="C33" s="28">
        <v>94</v>
      </c>
      <c r="D33" s="28">
        <v>44</v>
      </c>
      <c r="E33" s="29">
        <v>0.1173611111111111</v>
      </c>
      <c r="F33" s="29">
        <v>0.4201388888888889</v>
      </c>
      <c r="G33" s="24">
        <v>2</v>
      </c>
      <c r="H33" s="26">
        <v>-12</v>
      </c>
      <c r="I33" s="17">
        <v>0</v>
      </c>
      <c r="J33" s="18">
        <v>0</v>
      </c>
      <c r="K33" s="18">
        <v>0</v>
      </c>
      <c r="L33" s="19"/>
      <c r="M33" s="20"/>
      <c r="N33" s="21">
        <v>0</v>
      </c>
      <c r="O33" s="22">
        <v>13</v>
      </c>
    </row>
    <row r="34" spans="1:15" s="7" customFormat="1" ht="19.5" customHeight="1" thickTop="1" thickBot="1" x14ac:dyDescent="0.6">
      <c r="A34" s="15" t="s">
        <v>229</v>
      </c>
      <c r="B34" s="27">
        <v>25</v>
      </c>
      <c r="C34" s="28">
        <v>86</v>
      </c>
      <c r="D34" s="28">
        <v>41</v>
      </c>
      <c r="E34" s="29">
        <v>6.1111111111111116E-2</v>
      </c>
      <c r="F34" s="29">
        <v>0.39097222222222222</v>
      </c>
      <c r="G34" s="24">
        <v>6</v>
      </c>
      <c r="H34" s="26">
        <v>-2</v>
      </c>
      <c r="I34" s="17">
        <v>9</v>
      </c>
      <c r="J34" s="18">
        <v>16</v>
      </c>
      <c r="K34" s="18">
        <v>31</v>
      </c>
      <c r="L34" s="19">
        <v>2.6388888888888889E-2</v>
      </c>
      <c r="M34" s="20">
        <v>0.3666666666666667</v>
      </c>
      <c r="N34" s="21">
        <v>0</v>
      </c>
      <c r="O34" s="22">
        <v>13</v>
      </c>
    </row>
    <row r="35" spans="1:15" s="7" customFormat="1" ht="19.5" customHeight="1" thickTop="1" thickBot="1" x14ac:dyDescent="0.6">
      <c r="A35" s="15" t="s">
        <v>240</v>
      </c>
      <c r="B35" s="27">
        <v>44</v>
      </c>
      <c r="C35" s="28">
        <v>211</v>
      </c>
      <c r="D35" s="28">
        <v>41</v>
      </c>
      <c r="E35" s="29">
        <v>2.5694444444444447E-2</v>
      </c>
      <c r="F35" s="29">
        <v>0.36319444444444443</v>
      </c>
      <c r="G35" s="24">
        <v>12</v>
      </c>
      <c r="H35" s="26">
        <v>-5</v>
      </c>
      <c r="I35" s="17">
        <v>9</v>
      </c>
      <c r="J35" s="18">
        <v>19</v>
      </c>
      <c r="K35" s="18">
        <v>31</v>
      </c>
      <c r="L35" s="19">
        <v>1.4583333333333332E-2</v>
      </c>
      <c r="M35" s="20">
        <v>0.33194444444444443</v>
      </c>
      <c r="N35" s="21">
        <v>0</v>
      </c>
      <c r="O35" s="22">
        <v>17</v>
      </c>
    </row>
    <row r="36" spans="1:15" s="7" customFormat="1" ht="19.5" customHeight="1" thickTop="1" thickBot="1" x14ac:dyDescent="0.6">
      <c r="A36" s="15" t="s">
        <v>242</v>
      </c>
      <c r="B36" s="27">
        <v>25</v>
      </c>
      <c r="C36" s="28">
        <v>107</v>
      </c>
      <c r="D36" s="28">
        <v>41</v>
      </c>
      <c r="E36" s="29">
        <v>9.7222222222222224E-2</v>
      </c>
      <c r="F36" s="29">
        <v>0.38055555555555554</v>
      </c>
      <c r="G36" s="24">
        <v>1</v>
      </c>
      <c r="H36" s="26">
        <v>-8</v>
      </c>
      <c r="I36" s="17">
        <v>3</v>
      </c>
      <c r="J36" s="18">
        <v>9</v>
      </c>
      <c r="K36" s="18">
        <v>41</v>
      </c>
      <c r="L36" s="19">
        <v>2.013888888888889E-2</v>
      </c>
      <c r="M36" s="20">
        <v>0.43194444444444446</v>
      </c>
      <c r="N36" s="21">
        <v>0</v>
      </c>
      <c r="O36" s="22">
        <v>5</v>
      </c>
    </row>
    <row r="37" spans="1:15" s="7" customFormat="1" ht="19.5" customHeight="1" thickTop="1" thickBot="1" x14ac:dyDescent="0.6">
      <c r="A37" s="15" t="s">
        <v>252</v>
      </c>
      <c r="B37" s="27">
        <v>41</v>
      </c>
      <c r="C37" s="28">
        <v>163</v>
      </c>
      <c r="D37" s="28">
        <v>41</v>
      </c>
      <c r="E37" s="29">
        <v>2.9861111111111113E-2</v>
      </c>
      <c r="F37" s="29">
        <v>0.41388888888888892</v>
      </c>
      <c r="G37" s="24">
        <v>1</v>
      </c>
      <c r="H37" s="26">
        <v>-20</v>
      </c>
      <c r="I37" s="17">
        <v>8</v>
      </c>
      <c r="J37" s="18">
        <v>24</v>
      </c>
      <c r="K37" s="18">
        <v>23</v>
      </c>
      <c r="L37" s="19">
        <v>1.3888888888888888E-2</v>
      </c>
      <c r="M37" s="20">
        <v>0.53680555555555554</v>
      </c>
      <c r="N37" s="21">
        <v>0</v>
      </c>
      <c r="O37" s="22">
        <v>20</v>
      </c>
    </row>
    <row r="38" spans="1:15" s="7" customFormat="1" ht="19.5" customHeight="1" thickTop="1" thickBot="1" x14ac:dyDescent="0.6">
      <c r="A38" s="15" t="s">
        <v>238</v>
      </c>
      <c r="B38" s="27">
        <v>52</v>
      </c>
      <c r="C38" s="28">
        <v>171</v>
      </c>
      <c r="D38" s="28">
        <v>40</v>
      </c>
      <c r="E38" s="29">
        <v>0.11180555555555556</v>
      </c>
      <c r="F38" s="29">
        <v>0.24097222222222223</v>
      </c>
      <c r="G38" s="24">
        <v>7</v>
      </c>
      <c r="H38" s="26">
        <v>-5</v>
      </c>
      <c r="I38" s="17">
        <v>11</v>
      </c>
      <c r="J38" s="18">
        <v>30</v>
      </c>
      <c r="K38" s="18">
        <v>32</v>
      </c>
      <c r="L38" s="19">
        <v>4.8611111111111112E-2</v>
      </c>
      <c r="M38" s="20">
        <v>0.4604166666666667</v>
      </c>
      <c r="N38" s="21">
        <v>1</v>
      </c>
      <c r="O38" s="22">
        <v>58</v>
      </c>
    </row>
    <row r="39" spans="1:15" s="7" customFormat="1" ht="19.5" customHeight="1" thickTop="1" thickBot="1" x14ac:dyDescent="0.6">
      <c r="A39" s="15" t="s">
        <v>239</v>
      </c>
      <c r="B39" s="27">
        <v>48</v>
      </c>
      <c r="C39" s="28">
        <v>232</v>
      </c>
      <c r="D39" s="28">
        <v>39</v>
      </c>
      <c r="E39" s="29">
        <v>3.2638888888888891E-2</v>
      </c>
      <c r="F39" s="29">
        <v>0.37986111111111115</v>
      </c>
      <c r="G39" s="24">
        <v>16</v>
      </c>
      <c r="H39" s="26">
        <v>-5</v>
      </c>
      <c r="I39" s="17">
        <v>8</v>
      </c>
      <c r="J39" s="18">
        <v>23</v>
      </c>
      <c r="K39" s="18">
        <v>26</v>
      </c>
      <c r="L39" s="19">
        <v>6.9444444444444441E-3</v>
      </c>
      <c r="M39" s="20">
        <v>0.42569444444444443</v>
      </c>
      <c r="N39" s="21">
        <v>1</v>
      </c>
      <c r="O39" s="22">
        <v>33</v>
      </c>
    </row>
    <row r="40" spans="1:15" s="7" customFormat="1" ht="19.5" customHeight="1" thickTop="1" thickBot="1" x14ac:dyDescent="0.55000000000000004">
      <c r="A40" s="14" t="s">
        <v>228</v>
      </c>
      <c r="B40" s="23">
        <v>8</v>
      </c>
      <c r="C40" s="24">
        <v>26</v>
      </c>
      <c r="D40" s="24">
        <v>37</v>
      </c>
      <c r="E40" s="25">
        <v>2.7777777777777776E-2</v>
      </c>
      <c r="F40" s="25">
        <v>0.4152777777777778</v>
      </c>
      <c r="G40" s="24">
        <v>1</v>
      </c>
      <c r="H40" s="26">
        <v>-3</v>
      </c>
      <c r="I40" s="17">
        <v>8</v>
      </c>
      <c r="J40" s="18">
        <v>9</v>
      </c>
      <c r="K40" s="18">
        <v>16</v>
      </c>
      <c r="L40" s="19">
        <v>1.1111111111111112E-2</v>
      </c>
      <c r="M40" s="20">
        <v>0.25972222222222224</v>
      </c>
      <c r="N40" s="21">
        <v>0</v>
      </c>
      <c r="O40" s="22">
        <v>12</v>
      </c>
    </row>
    <row r="41" spans="1:15" s="7" customFormat="1" ht="19.5" customHeight="1" thickTop="1" thickBot="1" x14ac:dyDescent="0.55000000000000004">
      <c r="A41" s="14" t="s">
        <v>234</v>
      </c>
      <c r="B41" s="23">
        <v>28</v>
      </c>
      <c r="C41" s="24">
        <v>111</v>
      </c>
      <c r="D41" s="24">
        <v>37</v>
      </c>
      <c r="E41" s="25">
        <v>2.7777777777777776E-2</v>
      </c>
      <c r="F41" s="25">
        <v>0.60555555555555551</v>
      </c>
      <c r="G41" s="24">
        <v>1</v>
      </c>
      <c r="H41" s="26">
        <v>-7</v>
      </c>
      <c r="I41" s="17">
        <v>7</v>
      </c>
      <c r="J41" s="18">
        <v>19</v>
      </c>
      <c r="K41" s="18">
        <v>26</v>
      </c>
      <c r="L41" s="19">
        <v>3.6805555555555557E-2</v>
      </c>
      <c r="M41" s="20">
        <v>0.69930555555555562</v>
      </c>
      <c r="N41" s="21">
        <v>0</v>
      </c>
      <c r="O41" s="22">
        <v>20</v>
      </c>
    </row>
    <row r="42" spans="1:15" s="7" customFormat="1" ht="19.5" customHeight="1" thickTop="1" thickBot="1" x14ac:dyDescent="0.6">
      <c r="A42" s="15" t="s">
        <v>250</v>
      </c>
      <c r="B42" s="27">
        <v>11</v>
      </c>
      <c r="C42" s="28">
        <v>51</v>
      </c>
      <c r="D42" s="28">
        <v>37</v>
      </c>
      <c r="E42" s="29">
        <v>1.4583333333333332E-2</v>
      </c>
      <c r="F42" s="29">
        <v>0.44236111111111115</v>
      </c>
      <c r="G42" s="24">
        <v>2</v>
      </c>
      <c r="H42" s="26">
        <v>-3</v>
      </c>
      <c r="I42" s="17">
        <v>0</v>
      </c>
      <c r="J42" s="18">
        <v>0</v>
      </c>
      <c r="K42" s="18">
        <v>0</v>
      </c>
      <c r="L42" s="19"/>
      <c r="M42" s="20"/>
      <c r="N42" s="21">
        <v>0</v>
      </c>
      <c r="O42" s="22">
        <v>10</v>
      </c>
    </row>
    <row r="43" spans="1:15" s="7" customFormat="1" ht="19.5" customHeight="1" thickTop="1" thickBot="1" x14ac:dyDescent="0.6">
      <c r="A43" s="15" t="s">
        <v>253</v>
      </c>
      <c r="B43" s="27">
        <v>19</v>
      </c>
      <c r="C43" s="28">
        <v>59</v>
      </c>
      <c r="D43" s="28">
        <v>31</v>
      </c>
      <c r="E43" s="29">
        <v>4.2361111111111106E-2</v>
      </c>
      <c r="F43" s="29">
        <v>0.29375000000000001</v>
      </c>
      <c r="G43" s="24">
        <v>0</v>
      </c>
      <c r="H43" s="26">
        <v>-4</v>
      </c>
      <c r="I43" s="17">
        <v>7</v>
      </c>
      <c r="J43" s="18">
        <v>8</v>
      </c>
      <c r="K43" s="18">
        <v>27</v>
      </c>
      <c r="L43" s="19">
        <v>4.5138888888888888E-2</v>
      </c>
      <c r="M43" s="20">
        <v>0.41666666666666669</v>
      </c>
      <c r="N43" s="21">
        <v>1</v>
      </c>
      <c r="O43" s="22">
        <v>66</v>
      </c>
    </row>
    <row r="44" spans="1:15" ht="19.5" customHeight="1" thickTop="1" thickBot="1" x14ac:dyDescent="0.65">
      <c r="A44" s="107" t="s">
        <v>547</v>
      </c>
      <c r="B44" s="105">
        <f>SUM(B3:B43)</f>
        <v>1602</v>
      </c>
      <c r="C44" s="105">
        <f>SUM(C3:C43)</f>
        <v>6909</v>
      </c>
      <c r="D44" s="27"/>
      <c r="E44" s="27"/>
      <c r="F44" s="27"/>
      <c r="G44" s="105">
        <f>SUM(G3:G43)</f>
        <v>209</v>
      </c>
      <c r="H44" s="105">
        <f>SUM(H3:H43)</f>
        <v>-661</v>
      </c>
      <c r="I44" s="106">
        <f>SUM(I3:I43)</f>
        <v>312</v>
      </c>
      <c r="J44" s="106">
        <f>SUM(J3:J43)</f>
        <v>686</v>
      </c>
      <c r="K44" s="17"/>
      <c r="L44" s="17"/>
      <c r="M44" s="17"/>
      <c r="N44" s="1">
        <v>0</v>
      </c>
      <c r="O44" s="6">
        <v>3</v>
      </c>
    </row>
    <row r="45" spans="1:15" ht="19.5" customHeight="1" thickTop="1" x14ac:dyDescent="0.5"/>
  </sheetData>
  <sheetProtection insertColumns="0" insertRows="0" deleteColumns="0" deleteRows="0" autoFilter="0"/>
  <autoFilter ref="A2:O43" xr:uid="{8B8B07B1-D814-459D-A1FA-1274B1CF6241}">
    <sortState xmlns:xlrd2="http://schemas.microsoft.com/office/spreadsheetml/2017/richdata2" ref="A3:O44">
      <sortCondition descending="1" ref="D2:D43"/>
    </sortState>
  </autoFilter>
  <sortState xmlns:xlrd2="http://schemas.microsoft.com/office/spreadsheetml/2017/richdata2" ref="A3:O43">
    <sortCondition descending="1" ref="B3:B43"/>
  </sortState>
  <mergeCells count="2">
    <mergeCell ref="B1:H1"/>
    <mergeCell ref="I1:M1"/>
  </mergeCells>
  <conditionalFormatting sqref="D3:D43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3:E43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rintOptions horizontalCentered="1"/>
  <pageMargins left="0.25" right="0.25" top="0.75" bottom="0.75" header="0.3" footer="0.3"/>
  <pageSetup scale="53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C5AF3B-64DF-4797-9F32-F49D321A8107}">
  <sheetPr>
    <tabColor theme="4"/>
    <pageSetUpPr fitToPage="1"/>
  </sheetPr>
  <dimension ref="A1:P31"/>
  <sheetViews>
    <sheetView showGridLines="0" topLeftCell="B17" zoomScale="145" zoomScaleNormal="145" workbookViewId="0">
      <selection activeCell="B1" sqref="A1:G31"/>
    </sheetView>
  </sheetViews>
  <sheetFormatPr defaultRowHeight="19.5" customHeight="1" x14ac:dyDescent="0.3"/>
  <cols>
    <col min="1" max="1" width="8.21875" style="1" hidden="1" customWidth="1"/>
    <col min="2" max="2" width="19.44140625" style="51" bestFit="1" customWidth="1"/>
    <col min="3" max="3" width="12.21875" style="51" bestFit="1" customWidth="1"/>
    <col min="4" max="4" width="10.5546875" style="51" bestFit="1" customWidth="1"/>
    <col min="5" max="5" width="21.6640625" style="51" bestFit="1" customWidth="1"/>
    <col min="6" max="6" width="11.44140625" style="54" bestFit="1" customWidth="1"/>
    <col min="7" max="7" width="13.77734375" style="54" bestFit="1" customWidth="1"/>
    <col min="8" max="16384" width="8.88671875" style="1"/>
  </cols>
  <sheetData>
    <row r="1" spans="1:16" s="5" customFormat="1" ht="19.5" customHeight="1" x14ac:dyDescent="0.25">
      <c r="A1" s="47" t="s">
        <v>60</v>
      </c>
      <c r="B1" s="83" t="s">
        <v>72</v>
      </c>
      <c r="C1" s="84" t="s">
        <v>545</v>
      </c>
      <c r="D1" s="84" t="s">
        <v>62</v>
      </c>
      <c r="E1" s="84" t="s">
        <v>63</v>
      </c>
      <c r="F1" s="85" t="s">
        <v>144</v>
      </c>
      <c r="G1" s="86" t="s">
        <v>145</v>
      </c>
      <c r="H1" s="4"/>
      <c r="I1" s="4"/>
      <c r="J1" s="4"/>
      <c r="K1" s="4"/>
      <c r="L1" s="4"/>
      <c r="M1" s="4"/>
      <c r="N1" s="4"/>
      <c r="O1" s="3"/>
      <c r="P1" s="3"/>
    </row>
    <row r="2" spans="1:16" s="2" customFormat="1" ht="19.5" customHeight="1" x14ac:dyDescent="0.45">
      <c r="A2" s="48">
        <v>606755</v>
      </c>
      <c r="B2" s="87" t="s">
        <v>194</v>
      </c>
      <c r="C2" s="88" t="s">
        <v>56</v>
      </c>
      <c r="D2" s="88" t="s">
        <v>107</v>
      </c>
      <c r="E2" s="88" t="s">
        <v>134</v>
      </c>
      <c r="F2" s="52">
        <v>218</v>
      </c>
      <c r="G2" s="89">
        <v>136</v>
      </c>
    </row>
    <row r="3" spans="1:16" s="2" customFormat="1" ht="19.5" customHeight="1" x14ac:dyDescent="0.45">
      <c r="A3" s="49">
        <v>108002</v>
      </c>
      <c r="B3" s="90" t="s">
        <v>195</v>
      </c>
      <c r="C3" s="50" t="s">
        <v>56</v>
      </c>
      <c r="D3" s="50" t="s">
        <v>108</v>
      </c>
      <c r="E3" s="50" t="s">
        <v>126</v>
      </c>
      <c r="F3" s="53">
        <v>200</v>
      </c>
      <c r="G3" s="91">
        <v>147</v>
      </c>
    </row>
    <row r="4" spans="1:16" s="2" customFormat="1" ht="19.5" customHeight="1" x14ac:dyDescent="0.45">
      <c r="A4" s="49">
        <v>1105330</v>
      </c>
      <c r="B4" s="90" t="s">
        <v>196</v>
      </c>
      <c r="C4" s="50" t="s">
        <v>68</v>
      </c>
      <c r="D4" s="50" t="s">
        <v>109</v>
      </c>
      <c r="E4" s="50" t="s">
        <v>142</v>
      </c>
      <c r="F4" s="53">
        <v>196</v>
      </c>
      <c r="G4" s="91">
        <v>131</v>
      </c>
    </row>
    <row r="5" spans="1:16" s="2" customFormat="1" ht="19.5" customHeight="1" x14ac:dyDescent="0.45">
      <c r="A5" s="49">
        <v>1815776</v>
      </c>
      <c r="B5" s="90" t="s">
        <v>197</v>
      </c>
      <c r="C5" s="50" t="s">
        <v>56</v>
      </c>
      <c r="D5" s="50" t="s">
        <v>111</v>
      </c>
      <c r="E5" s="50" t="s">
        <v>140</v>
      </c>
      <c r="F5" s="53">
        <v>196</v>
      </c>
      <c r="G5" s="91">
        <v>132</v>
      </c>
    </row>
    <row r="6" spans="1:16" s="2" customFormat="1" ht="19.5" customHeight="1" x14ac:dyDescent="0.45">
      <c r="A6" s="49">
        <v>920302168</v>
      </c>
      <c r="B6" s="90" t="s">
        <v>198</v>
      </c>
      <c r="C6" s="50" t="s">
        <v>67</v>
      </c>
      <c r="D6" s="50" t="s">
        <v>108</v>
      </c>
      <c r="E6" s="50" t="s">
        <v>126</v>
      </c>
      <c r="F6" s="53">
        <v>195</v>
      </c>
      <c r="G6" s="91">
        <v>102</v>
      </c>
    </row>
    <row r="7" spans="1:16" s="2" customFormat="1" ht="19.5" customHeight="1" x14ac:dyDescent="0.45">
      <c r="A7" s="49">
        <v>1105127</v>
      </c>
      <c r="B7" s="90" t="s">
        <v>199</v>
      </c>
      <c r="C7" s="50" t="s">
        <v>56</v>
      </c>
      <c r="D7" s="50" t="s">
        <v>109</v>
      </c>
      <c r="E7" s="50" t="s">
        <v>142</v>
      </c>
      <c r="F7" s="53">
        <v>194</v>
      </c>
      <c r="G7" s="91">
        <v>117</v>
      </c>
    </row>
    <row r="8" spans="1:16" s="2" customFormat="1" ht="19.5" customHeight="1" x14ac:dyDescent="0.45">
      <c r="A8" s="49">
        <v>607584</v>
      </c>
      <c r="B8" s="90" t="s">
        <v>200</v>
      </c>
      <c r="C8" s="50" t="s">
        <v>68</v>
      </c>
      <c r="D8" s="50" t="s">
        <v>106</v>
      </c>
      <c r="E8" s="50" t="s">
        <v>136</v>
      </c>
      <c r="F8" s="53">
        <v>189</v>
      </c>
      <c r="G8" s="91">
        <v>128</v>
      </c>
    </row>
    <row r="9" spans="1:16" s="2" customFormat="1" ht="19.5" customHeight="1" x14ac:dyDescent="0.45">
      <c r="A9" s="49">
        <v>606644</v>
      </c>
      <c r="B9" s="90" t="s">
        <v>201</v>
      </c>
      <c r="C9" s="50" t="s">
        <v>56</v>
      </c>
      <c r="D9" s="50" t="s">
        <v>106</v>
      </c>
      <c r="E9" s="50" t="s">
        <v>138</v>
      </c>
      <c r="F9" s="53">
        <v>186</v>
      </c>
      <c r="G9" s="91">
        <v>134</v>
      </c>
    </row>
    <row r="10" spans="1:16" s="2" customFormat="1" ht="19.5" customHeight="1" x14ac:dyDescent="0.45">
      <c r="A10" s="49">
        <v>607881</v>
      </c>
      <c r="B10" s="90" t="s">
        <v>202</v>
      </c>
      <c r="C10" s="50" t="s">
        <v>68</v>
      </c>
      <c r="D10" s="50" t="s">
        <v>107</v>
      </c>
      <c r="E10" s="50" t="s">
        <v>135</v>
      </c>
      <c r="F10" s="53">
        <v>182</v>
      </c>
      <c r="G10" s="91">
        <v>106</v>
      </c>
    </row>
    <row r="11" spans="1:16" s="2" customFormat="1" ht="19.5" customHeight="1" x14ac:dyDescent="0.45">
      <c r="A11" s="49">
        <v>406681</v>
      </c>
      <c r="B11" s="90" t="s">
        <v>203</v>
      </c>
      <c r="C11" s="50" t="s">
        <v>68</v>
      </c>
      <c r="D11" s="50" t="s">
        <v>115</v>
      </c>
      <c r="E11" s="50" t="s">
        <v>125</v>
      </c>
      <c r="F11" s="53">
        <v>174</v>
      </c>
      <c r="G11" s="91">
        <v>160</v>
      </c>
    </row>
    <row r="12" spans="1:16" s="2" customFormat="1" ht="19.5" customHeight="1" x14ac:dyDescent="0.45">
      <c r="A12" s="49">
        <v>405984</v>
      </c>
      <c r="B12" s="90" t="s">
        <v>204</v>
      </c>
      <c r="C12" s="50" t="s">
        <v>56</v>
      </c>
      <c r="D12" s="50" t="s">
        <v>119</v>
      </c>
      <c r="E12" s="50" t="s">
        <v>123</v>
      </c>
      <c r="F12" s="53">
        <v>170</v>
      </c>
      <c r="G12" s="91">
        <v>105</v>
      </c>
    </row>
    <row r="13" spans="1:16" s="2" customFormat="1" ht="19.5" customHeight="1" x14ac:dyDescent="0.45">
      <c r="A13" s="49">
        <v>406831</v>
      </c>
      <c r="B13" s="90" t="s">
        <v>205</v>
      </c>
      <c r="C13" s="50" t="s">
        <v>68</v>
      </c>
      <c r="D13" s="50" t="s">
        <v>110</v>
      </c>
      <c r="E13" s="50" t="s">
        <v>122</v>
      </c>
      <c r="F13" s="53">
        <v>169</v>
      </c>
      <c r="G13" s="91">
        <v>118</v>
      </c>
    </row>
    <row r="14" spans="1:16" s="2" customFormat="1" ht="19.5" customHeight="1" x14ac:dyDescent="0.45">
      <c r="A14" s="49">
        <v>106084</v>
      </c>
      <c r="B14" s="90" t="s">
        <v>206</v>
      </c>
      <c r="C14" s="50" t="s">
        <v>56</v>
      </c>
      <c r="D14" s="50" t="s">
        <v>114</v>
      </c>
      <c r="E14" s="50" t="s">
        <v>128</v>
      </c>
      <c r="F14" s="53">
        <v>166</v>
      </c>
      <c r="G14" s="91">
        <v>86</v>
      </c>
    </row>
    <row r="15" spans="1:16" s="2" customFormat="1" ht="19.5" customHeight="1" x14ac:dyDescent="0.45">
      <c r="A15" s="49">
        <v>1116824</v>
      </c>
      <c r="B15" s="90" t="s">
        <v>207</v>
      </c>
      <c r="C15" s="50" t="s">
        <v>68</v>
      </c>
      <c r="D15" s="50" t="s">
        <v>112</v>
      </c>
      <c r="E15" s="50" t="s">
        <v>130</v>
      </c>
      <c r="F15" s="53">
        <v>165</v>
      </c>
      <c r="G15" s="91">
        <v>114</v>
      </c>
    </row>
    <row r="16" spans="1:16" s="2" customFormat="1" ht="19.5" customHeight="1" x14ac:dyDescent="0.45">
      <c r="A16" s="49">
        <v>1116487</v>
      </c>
      <c r="B16" s="90" t="s">
        <v>208</v>
      </c>
      <c r="C16" s="50" t="s">
        <v>56</v>
      </c>
      <c r="D16" s="50" t="s">
        <v>112</v>
      </c>
      <c r="E16" s="50" t="s">
        <v>132</v>
      </c>
      <c r="F16" s="53">
        <v>165</v>
      </c>
      <c r="G16" s="91">
        <v>124</v>
      </c>
    </row>
    <row r="17" spans="1:7" s="2" customFormat="1" ht="19.5" customHeight="1" x14ac:dyDescent="0.45">
      <c r="A17" s="49">
        <v>1116157</v>
      </c>
      <c r="B17" s="90" t="s">
        <v>209</v>
      </c>
      <c r="C17" s="50" t="s">
        <v>56</v>
      </c>
      <c r="D17" s="50" t="s">
        <v>112</v>
      </c>
      <c r="E17" s="50" t="s">
        <v>131</v>
      </c>
      <c r="F17" s="53">
        <v>164</v>
      </c>
      <c r="G17" s="91">
        <v>153</v>
      </c>
    </row>
    <row r="18" spans="1:7" s="2" customFormat="1" ht="19.5" customHeight="1" x14ac:dyDescent="0.45">
      <c r="A18" s="49">
        <v>506258</v>
      </c>
      <c r="B18" s="90" t="s">
        <v>210</v>
      </c>
      <c r="C18" s="50" t="s">
        <v>56</v>
      </c>
      <c r="D18" s="50" t="s">
        <v>113</v>
      </c>
      <c r="E18" s="50" t="s">
        <v>121</v>
      </c>
      <c r="F18" s="53">
        <v>164</v>
      </c>
      <c r="G18" s="91">
        <v>146</v>
      </c>
    </row>
    <row r="19" spans="1:7" s="2" customFormat="1" ht="19.5" customHeight="1" x14ac:dyDescent="0.45">
      <c r="A19" s="49">
        <v>920301948</v>
      </c>
      <c r="B19" s="90" t="s">
        <v>211</v>
      </c>
      <c r="C19" s="50" t="s">
        <v>67</v>
      </c>
      <c r="D19" s="50" t="s">
        <v>112</v>
      </c>
      <c r="E19" s="50" t="s">
        <v>130</v>
      </c>
      <c r="F19" s="53">
        <v>160</v>
      </c>
      <c r="G19" s="91">
        <v>146</v>
      </c>
    </row>
    <row r="20" spans="1:7" s="2" customFormat="1" ht="19.5" customHeight="1" x14ac:dyDescent="0.45">
      <c r="A20" s="49">
        <v>408726</v>
      </c>
      <c r="B20" s="90" t="s">
        <v>212</v>
      </c>
      <c r="C20" s="50" t="s">
        <v>56</v>
      </c>
      <c r="D20" s="50" t="s">
        <v>115</v>
      </c>
      <c r="E20" s="50" t="s">
        <v>124</v>
      </c>
      <c r="F20" s="53">
        <v>160</v>
      </c>
      <c r="G20" s="91">
        <v>135</v>
      </c>
    </row>
    <row r="21" spans="1:7" s="2" customFormat="1" ht="19.5" customHeight="1" x14ac:dyDescent="0.45">
      <c r="A21" s="49">
        <v>1116363</v>
      </c>
      <c r="B21" s="90" t="s">
        <v>213</v>
      </c>
      <c r="C21" s="50" t="s">
        <v>56</v>
      </c>
      <c r="D21" s="50" t="s">
        <v>112</v>
      </c>
      <c r="E21" s="50" t="s">
        <v>130</v>
      </c>
      <c r="F21" s="53">
        <v>159</v>
      </c>
      <c r="G21" s="91">
        <v>133</v>
      </c>
    </row>
    <row r="22" spans="1:7" s="2" customFormat="1" ht="19.5" customHeight="1" x14ac:dyDescent="0.45">
      <c r="A22" s="49">
        <v>1415956</v>
      </c>
      <c r="B22" s="90" t="s">
        <v>214</v>
      </c>
      <c r="C22" s="50" t="s">
        <v>68</v>
      </c>
      <c r="D22" s="50" t="s">
        <v>117</v>
      </c>
      <c r="E22" s="50" t="s">
        <v>143</v>
      </c>
      <c r="F22" s="53">
        <v>158</v>
      </c>
      <c r="G22" s="91">
        <v>104</v>
      </c>
    </row>
    <row r="23" spans="1:7" s="2" customFormat="1" ht="19.5" customHeight="1" x14ac:dyDescent="0.45">
      <c r="A23" s="49">
        <v>505854</v>
      </c>
      <c r="B23" s="90" t="s">
        <v>215</v>
      </c>
      <c r="C23" s="50" t="s">
        <v>68</v>
      </c>
      <c r="D23" s="50" t="s">
        <v>113</v>
      </c>
      <c r="E23" s="50" t="s">
        <v>120</v>
      </c>
      <c r="F23" s="53">
        <v>158</v>
      </c>
      <c r="G23" s="91">
        <v>150</v>
      </c>
    </row>
    <row r="24" spans="1:7" s="2" customFormat="1" ht="19.5" customHeight="1" x14ac:dyDescent="0.45">
      <c r="A24" s="49">
        <v>107552</v>
      </c>
      <c r="B24" s="90" t="s">
        <v>216</v>
      </c>
      <c r="C24" s="50" t="s">
        <v>56</v>
      </c>
      <c r="D24" s="50" t="s">
        <v>108</v>
      </c>
      <c r="E24" s="50" t="s">
        <v>127</v>
      </c>
      <c r="F24" s="53">
        <v>156</v>
      </c>
      <c r="G24" s="91">
        <v>97</v>
      </c>
    </row>
    <row r="25" spans="1:7" s="2" customFormat="1" ht="19.5" customHeight="1" x14ac:dyDescent="0.45">
      <c r="A25" s="49">
        <v>606685</v>
      </c>
      <c r="B25" s="90" t="s">
        <v>217</v>
      </c>
      <c r="C25" s="50" t="s">
        <v>218</v>
      </c>
      <c r="D25" s="50" t="s">
        <v>106</v>
      </c>
      <c r="E25" s="50" t="s">
        <v>137</v>
      </c>
      <c r="F25" s="53">
        <v>155</v>
      </c>
      <c r="G25" s="91">
        <v>111</v>
      </c>
    </row>
    <row r="26" spans="1:7" s="2" customFormat="1" ht="19.5" customHeight="1" x14ac:dyDescent="0.45">
      <c r="A26" s="49">
        <v>605810</v>
      </c>
      <c r="B26" s="90" t="s">
        <v>219</v>
      </c>
      <c r="C26" s="50" t="s">
        <v>56</v>
      </c>
      <c r="D26" s="50" t="s">
        <v>106</v>
      </c>
      <c r="E26" s="50" t="s">
        <v>137</v>
      </c>
      <c r="F26" s="53">
        <v>152</v>
      </c>
      <c r="G26" s="91">
        <v>111</v>
      </c>
    </row>
    <row r="27" spans="1:7" s="2" customFormat="1" ht="19.5" customHeight="1" x14ac:dyDescent="0.45">
      <c r="A27" s="49">
        <v>920301617</v>
      </c>
      <c r="B27" s="90" t="s">
        <v>220</v>
      </c>
      <c r="C27" s="50" t="s">
        <v>67</v>
      </c>
      <c r="D27" s="50" t="s">
        <v>107</v>
      </c>
      <c r="E27" s="50" t="s">
        <v>133</v>
      </c>
      <c r="F27" s="53">
        <v>152</v>
      </c>
      <c r="G27" s="91">
        <v>81</v>
      </c>
    </row>
    <row r="28" spans="1:7" s="2" customFormat="1" ht="19.5" customHeight="1" x14ac:dyDescent="0.45">
      <c r="A28" s="49">
        <v>605430</v>
      </c>
      <c r="B28" s="90" t="s">
        <v>221</v>
      </c>
      <c r="C28" s="50" t="s">
        <v>56</v>
      </c>
      <c r="D28" s="50" t="s">
        <v>106</v>
      </c>
      <c r="E28" s="50" t="s">
        <v>139</v>
      </c>
      <c r="F28" s="53">
        <v>151</v>
      </c>
      <c r="G28" s="91">
        <v>170</v>
      </c>
    </row>
    <row r="29" spans="1:7" s="2" customFormat="1" ht="19.5" customHeight="1" x14ac:dyDescent="0.45">
      <c r="A29" s="49">
        <v>107488</v>
      </c>
      <c r="B29" s="90" t="s">
        <v>222</v>
      </c>
      <c r="C29" s="50" t="s">
        <v>56</v>
      </c>
      <c r="D29" s="50" t="s">
        <v>114</v>
      </c>
      <c r="E29" s="50" t="s">
        <v>129</v>
      </c>
      <c r="F29" s="53">
        <v>151</v>
      </c>
      <c r="G29" s="91">
        <v>151</v>
      </c>
    </row>
    <row r="30" spans="1:7" s="2" customFormat="1" ht="19.5" customHeight="1" x14ac:dyDescent="0.45">
      <c r="A30" s="49">
        <v>1815562</v>
      </c>
      <c r="B30" s="90" t="s">
        <v>223</v>
      </c>
      <c r="C30" s="50" t="s">
        <v>68</v>
      </c>
      <c r="D30" s="50" t="s">
        <v>111</v>
      </c>
      <c r="E30" s="50" t="s">
        <v>141</v>
      </c>
      <c r="F30" s="53">
        <v>150</v>
      </c>
      <c r="G30" s="91">
        <v>108</v>
      </c>
    </row>
    <row r="31" spans="1:7" s="2" customFormat="1" ht="19.5" customHeight="1" thickBot="1" x14ac:dyDescent="0.5">
      <c r="A31" s="49">
        <v>920304219</v>
      </c>
      <c r="B31" s="92" t="s">
        <v>224</v>
      </c>
      <c r="C31" s="93" t="s">
        <v>67</v>
      </c>
      <c r="D31" s="93" t="s">
        <v>116</v>
      </c>
      <c r="E31" s="93" t="s">
        <v>225</v>
      </c>
      <c r="F31" s="94">
        <v>150</v>
      </c>
      <c r="G31" s="95">
        <v>150</v>
      </c>
    </row>
  </sheetData>
  <sheetProtection insertColumns="0" insertRows="0" deleteColumns="0" deleteRows="0" autoFilter="0"/>
  <autoFilter ref="B1:G1" xr:uid="{4FC5AF3B-64DF-4797-9F32-F49D321A8107}">
    <sortState xmlns:xlrd2="http://schemas.microsoft.com/office/spreadsheetml/2017/richdata2" ref="B2:G31">
      <sortCondition descending="1" ref="F1"/>
    </sortState>
  </autoFilter>
  <conditionalFormatting sqref="F2:F31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2:G3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rintOptions horizontalCentered="1"/>
  <pageMargins left="0.25" right="0.25" top="0.75" bottom="0.75" header="0.3" footer="0.3"/>
  <pageSetup scale="53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A6A548-CD13-49D8-A39E-C6A1A4D2C899}">
  <sheetPr>
    <tabColor theme="4"/>
    <pageSetUpPr fitToPage="1"/>
  </sheetPr>
  <dimension ref="A1:P31"/>
  <sheetViews>
    <sheetView showGridLines="0" topLeftCell="B8" zoomScaleNormal="100" workbookViewId="0">
      <selection activeCell="C17" sqref="A1:G31"/>
    </sheetView>
  </sheetViews>
  <sheetFormatPr defaultRowHeight="19.5" customHeight="1" x14ac:dyDescent="0.3"/>
  <cols>
    <col min="1" max="1" width="8.21875" style="1" hidden="1" customWidth="1"/>
    <col min="2" max="2" width="16.77734375" style="1" bestFit="1" customWidth="1"/>
    <col min="3" max="3" width="13.88671875" style="1" bestFit="1" customWidth="1"/>
    <col min="4" max="5" width="21.6640625" style="1" bestFit="1" customWidth="1"/>
    <col min="6" max="7" width="16.21875" style="65" customWidth="1"/>
    <col min="8" max="16384" width="8.88671875" style="1"/>
  </cols>
  <sheetData>
    <row r="1" spans="1:16" s="5" customFormat="1" ht="19.5" customHeight="1" x14ac:dyDescent="0.25">
      <c r="A1" s="42" t="s">
        <v>60</v>
      </c>
      <c r="B1" s="70" t="s">
        <v>72</v>
      </c>
      <c r="C1" s="71" t="s">
        <v>61</v>
      </c>
      <c r="D1" s="71" t="s">
        <v>62</v>
      </c>
      <c r="E1" s="71" t="s">
        <v>63</v>
      </c>
      <c r="F1" s="72" t="s">
        <v>73</v>
      </c>
      <c r="G1" s="73" t="s">
        <v>64</v>
      </c>
      <c r="H1" s="4"/>
      <c r="I1" s="4"/>
      <c r="J1" s="4"/>
      <c r="K1" s="4"/>
      <c r="L1" s="4"/>
      <c r="M1" s="4"/>
      <c r="N1" s="4"/>
      <c r="O1" s="3"/>
      <c r="P1" s="3"/>
    </row>
    <row r="2" spans="1:16" s="2" customFormat="1" ht="19.5" customHeight="1" x14ac:dyDescent="0.55000000000000004">
      <c r="A2" s="43">
        <v>409027</v>
      </c>
      <c r="B2" s="74" t="s">
        <v>146</v>
      </c>
      <c r="C2" s="75" t="s">
        <v>147</v>
      </c>
      <c r="D2" s="75" t="s">
        <v>118</v>
      </c>
      <c r="E2" s="75" t="s">
        <v>148</v>
      </c>
      <c r="F2" s="63">
        <v>190</v>
      </c>
      <c r="G2" s="76">
        <v>142</v>
      </c>
    </row>
    <row r="3" spans="1:16" s="2" customFormat="1" ht="19.5" customHeight="1" x14ac:dyDescent="0.55000000000000004">
      <c r="A3" s="44">
        <v>406036</v>
      </c>
      <c r="B3" s="77" t="s">
        <v>149</v>
      </c>
      <c r="C3" s="66" t="s">
        <v>150</v>
      </c>
      <c r="D3" s="66" t="s">
        <v>118</v>
      </c>
      <c r="E3" s="66" t="s">
        <v>148</v>
      </c>
      <c r="F3" s="64">
        <v>177</v>
      </c>
      <c r="G3" s="78">
        <v>123</v>
      </c>
    </row>
    <row r="4" spans="1:16" s="2" customFormat="1" ht="19.5" customHeight="1" x14ac:dyDescent="0.55000000000000004">
      <c r="A4" s="44">
        <v>6476</v>
      </c>
      <c r="B4" s="77" t="s">
        <v>151</v>
      </c>
      <c r="C4" s="66" t="s">
        <v>104</v>
      </c>
      <c r="D4" s="66" t="s">
        <v>118</v>
      </c>
      <c r="E4" s="66" t="s">
        <v>152</v>
      </c>
      <c r="F4" s="64">
        <v>171</v>
      </c>
      <c r="G4" s="78">
        <v>159</v>
      </c>
    </row>
    <row r="5" spans="1:16" s="2" customFormat="1" ht="19.5" customHeight="1" x14ac:dyDescent="0.55000000000000004">
      <c r="A5" s="44">
        <v>6479</v>
      </c>
      <c r="B5" s="77" t="s">
        <v>153</v>
      </c>
      <c r="C5" s="66" t="s">
        <v>154</v>
      </c>
      <c r="D5" s="66" t="s">
        <v>118</v>
      </c>
      <c r="E5" s="66" t="s">
        <v>152</v>
      </c>
      <c r="F5" s="64">
        <v>170</v>
      </c>
      <c r="G5" s="78">
        <v>91</v>
      </c>
    </row>
    <row r="6" spans="1:16" s="2" customFormat="1" ht="19.5" customHeight="1" x14ac:dyDescent="0.55000000000000004">
      <c r="A6" s="44">
        <v>405112</v>
      </c>
      <c r="B6" s="77" t="s">
        <v>155</v>
      </c>
      <c r="C6" s="66" t="s">
        <v>156</v>
      </c>
      <c r="D6" s="66" t="s">
        <v>118</v>
      </c>
      <c r="E6" s="66" t="s">
        <v>148</v>
      </c>
      <c r="F6" s="64">
        <v>168</v>
      </c>
      <c r="G6" s="78">
        <v>143</v>
      </c>
    </row>
    <row r="7" spans="1:16" s="2" customFormat="1" ht="19.5" customHeight="1" x14ac:dyDescent="0.55000000000000004">
      <c r="A7" s="44">
        <v>606949</v>
      </c>
      <c r="B7" s="77" t="s">
        <v>157</v>
      </c>
      <c r="C7" s="66" t="s">
        <v>158</v>
      </c>
      <c r="D7" s="66" t="s">
        <v>118</v>
      </c>
      <c r="E7" s="66" t="s">
        <v>159</v>
      </c>
      <c r="F7" s="64">
        <v>160</v>
      </c>
      <c r="G7" s="78">
        <v>121</v>
      </c>
    </row>
    <row r="8" spans="1:16" s="2" customFormat="1" ht="19.5" customHeight="1" x14ac:dyDescent="0.55000000000000004">
      <c r="A8" s="44">
        <v>107936</v>
      </c>
      <c r="B8" s="77" t="s">
        <v>160</v>
      </c>
      <c r="C8" s="66" t="s">
        <v>161</v>
      </c>
      <c r="D8" s="66" t="s">
        <v>118</v>
      </c>
      <c r="E8" s="66" t="s">
        <v>162</v>
      </c>
      <c r="F8" s="64">
        <v>152</v>
      </c>
      <c r="G8" s="78">
        <v>126</v>
      </c>
    </row>
    <row r="9" spans="1:16" s="2" customFormat="1" ht="19.5" customHeight="1" x14ac:dyDescent="0.55000000000000004">
      <c r="A9" s="44">
        <v>909161406</v>
      </c>
      <c r="B9" s="77" t="s">
        <v>163</v>
      </c>
      <c r="C9" s="66" t="s">
        <v>161</v>
      </c>
      <c r="D9" s="66" t="s">
        <v>118</v>
      </c>
      <c r="E9" s="66" t="s">
        <v>148</v>
      </c>
      <c r="F9" s="64">
        <v>151</v>
      </c>
      <c r="G9" s="78">
        <v>129</v>
      </c>
    </row>
    <row r="10" spans="1:16" s="2" customFormat="1" ht="19.5" customHeight="1" x14ac:dyDescent="0.55000000000000004">
      <c r="A10" s="44">
        <v>920302130</v>
      </c>
      <c r="B10" s="77" t="s">
        <v>164</v>
      </c>
      <c r="C10" s="66" t="s">
        <v>165</v>
      </c>
      <c r="D10" s="66" t="s">
        <v>118</v>
      </c>
      <c r="E10" s="66" t="s">
        <v>166</v>
      </c>
      <c r="F10" s="64">
        <v>150</v>
      </c>
      <c r="G10" s="78">
        <v>140</v>
      </c>
    </row>
    <row r="11" spans="1:16" s="2" customFormat="1" ht="19.5" customHeight="1" x14ac:dyDescent="0.55000000000000004">
      <c r="A11" s="44">
        <v>6335</v>
      </c>
      <c r="B11" s="77" t="s">
        <v>167</v>
      </c>
      <c r="C11" s="66" t="s">
        <v>168</v>
      </c>
      <c r="D11" s="66" t="s">
        <v>118</v>
      </c>
      <c r="E11" s="66" t="s">
        <v>148</v>
      </c>
      <c r="F11" s="64">
        <v>149</v>
      </c>
      <c r="G11" s="78">
        <v>119</v>
      </c>
    </row>
    <row r="12" spans="1:16" s="2" customFormat="1" ht="19.5" customHeight="1" x14ac:dyDescent="0.55000000000000004">
      <c r="A12" s="44">
        <v>108064</v>
      </c>
      <c r="B12" s="77" t="s">
        <v>169</v>
      </c>
      <c r="C12" s="66" t="s">
        <v>168</v>
      </c>
      <c r="D12" s="66" t="s">
        <v>118</v>
      </c>
      <c r="E12" s="66" t="s">
        <v>162</v>
      </c>
      <c r="F12" s="64">
        <v>148</v>
      </c>
      <c r="G12" s="78">
        <v>111</v>
      </c>
    </row>
    <row r="13" spans="1:16" s="2" customFormat="1" ht="19.5" customHeight="1" x14ac:dyDescent="0.55000000000000004">
      <c r="A13" s="44">
        <v>916216308</v>
      </c>
      <c r="B13" s="77" t="s">
        <v>170</v>
      </c>
      <c r="C13" s="66" t="s">
        <v>161</v>
      </c>
      <c r="D13" s="66" t="s">
        <v>118</v>
      </c>
      <c r="E13" s="66" t="s">
        <v>171</v>
      </c>
      <c r="F13" s="64">
        <v>148</v>
      </c>
      <c r="G13" s="78">
        <v>107</v>
      </c>
    </row>
    <row r="14" spans="1:16" s="2" customFormat="1" ht="19.5" customHeight="1" x14ac:dyDescent="0.55000000000000004">
      <c r="A14" s="44">
        <v>405807</v>
      </c>
      <c r="B14" s="77" t="s">
        <v>172</v>
      </c>
      <c r="C14" s="66" t="s">
        <v>161</v>
      </c>
      <c r="D14" s="66" t="s">
        <v>118</v>
      </c>
      <c r="E14" s="66" t="s">
        <v>148</v>
      </c>
      <c r="F14" s="64">
        <v>146</v>
      </c>
      <c r="G14" s="78">
        <v>139</v>
      </c>
    </row>
    <row r="15" spans="1:16" s="2" customFormat="1" ht="19.5" customHeight="1" x14ac:dyDescent="0.55000000000000004">
      <c r="A15" s="44">
        <v>305566</v>
      </c>
      <c r="B15" s="77" t="s">
        <v>173</v>
      </c>
      <c r="C15" s="66" t="s">
        <v>174</v>
      </c>
      <c r="D15" s="66" t="s">
        <v>175</v>
      </c>
      <c r="E15" s="66" t="s">
        <v>175</v>
      </c>
      <c r="F15" s="64">
        <v>145</v>
      </c>
      <c r="G15" s="78">
        <v>138</v>
      </c>
    </row>
    <row r="16" spans="1:16" s="2" customFormat="1" ht="19.5" customHeight="1" x14ac:dyDescent="0.55000000000000004">
      <c r="A16" s="44">
        <v>6092</v>
      </c>
      <c r="B16" s="77" t="s">
        <v>176</v>
      </c>
      <c r="C16" s="66" t="s">
        <v>161</v>
      </c>
      <c r="D16" s="66" t="s">
        <v>118</v>
      </c>
      <c r="E16" s="66" t="s">
        <v>148</v>
      </c>
      <c r="F16" s="64">
        <v>145</v>
      </c>
      <c r="G16" s="78">
        <v>138</v>
      </c>
    </row>
    <row r="17" spans="1:7" s="2" customFormat="1" ht="19.5" customHeight="1" x14ac:dyDescent="0.55000000000000004">
      <c r="A17" s="44">
        <v>920303183</v>
      </c>
      <c r="B17" s="77" t="s">
        <v>177</v>
      </c>
      <c r="C17" s="66" t="s">
        <v>165</v>
      </c>
      <c r="D17" s="66" t="s">
        <v>118</v>
      </c>
      <c r="E17" s="66" t="s">
        <v>166</v>
      </c>
      <c r="F17" s="64">
        <v>144</v>
      </c>
      <c r="G17" s="78">
        <v>104</v>
      </c>
    </row>
    <row r="18" spans="1:7" s="2" customFormat="1" ht="19.5" customHeight="1" x14ac:dyDescent="0.55000000000000004">
      <c r="A18" s="44">
        <v>6503</v>
      </c>
      <c r="B18" s="77" t="s">
        <v>178</v>
      </c>
      <c r="C18" s="66" t="s">
        <v>161</v>
      </c>
      <c r="D18" s="66" t="s">
        <v>118</v>
      </c>
      <c r="E18" s="66" t="s">
        <v>152</v>
      </c>
      <c r="F18" s="64">
        <v>144</v>
      </c>
      <c r="G18" s="78">
        <v>131</v>
      </c>
    </row>
    <row r="19" spans="1:7" s="2" customFormat="1" ht="19.5" customHeight="1" x14ac:dyDescent="0.55000000000000004">
      <c r="A19" s="44">
        <v>405687</v>
      </c>
      <c r="B19" s="77" t="s">
        <v>179</v>
      </c>
      <c r="C19" s="66" t="s">
        <v>161</v>
      </c>
      <c r="D19" s="66" t="s">
        <v>118</v>
      </c>
      <c r="E19" s="66" t="s">
        <v>148</v>
      </c>
      <c r="F19" s="64">
        <v>144</v>
      </c>
      <c r="G19" s="78">
        <v>99</v>
      </c>
    </row>
    <row r="20" spans="1:7" s="2" customFormat="1" ht="19.5" customHeight="1" x14ac:dyDescent="0.55000000000000004">
      <c r="A20" s="44">
        <v>1116418</v>
      </c>
      <c r="B20" s="77" t="s">
        <v>180</v>
      </c>
      <c r="C20" s="66" t="s">
        <v>161</v>
      </c>
      <c r="D20" s="66" t="s">
        <v>118</v>
      </c>
      <c r="E20" s="66" t="s">
        <v>162</v>
      </c>
      <c r="F20" s="64">
        <v>144</v>
      </c>
      <c r="G20" s="78">
        <v>139</v>
      </c>
    </row>
    <row r="21" spans="1:7" s="2" customFormat="1" ht="19.5" customHeight="1" x14ac:dyDescent="0.55000000000000004">
      <c r="A21" s="44">
        <v>409121</v>
      </c>
      <c r="B21" s="77" t="s">
        <v>181</v>
      </c>
      <c r="C21" s="66" t="s">
        <v>182</v>
      </c>
      <c r="D21" s="66" t="s">
        <v>118</v>
      </c>
      <c r="E21" s="66" t="s">
        <v>148</v>
      </c>
      <c r="F21" s="64">
        <v>142</v>
      </c>
      <c r="G21" s="78">
        <v>135</v>
      </c>
    </row>
    <row r="22" spans="1:7" s="2" customFormat="1" ht="19.5" customHeight="1" x14ac:dyDescent="0.55000000000000004">
      <c r="A22" s="44">
        <v>705315</v>
      </c>
      <c r="B22" s="77" t="s">
        <v>183</v>
      </c>
      <c r="C22" s="66" t="s">
        <v>147</v>
      </c>
      <c r="D22" s="66" t="s">
        <v>118</v>
      </c>
      <c r="E22" s="66" t="s">
        <v>184</v>
      </c>
      <c r="F22" s="64">
        <v>142</v>
      </c>
      <c r="G22" s="78">
        <v>115</v>
      </c>
    </row>
    <row r="23" spans="1:7" s="2" customFormat="1" ht="19.5" customHeight="1" x14ac:dyDescent="0.55000000000000004">
      <c r="A23" s="44">
        <v>920302207</v>
      </c>
      <c r="B23" s="77" t="s">
        <v>185</v>
      </c>
      <c r="C23" s="66" t="s">
        <v>154</v>
      </c>
      <c r="D23" s="66" t="s">
        <v>118</v>
      </c>
      <c r="E23" s="66" t="s">
        <v>184</v>
      </c>
      <c r="F23" s="64">
        <v>142</v>
      </c>
      <c r="G23" s="78">
        <v>98</v>
      </c>
    </row>
    <row r="24" spans="1:7" s="2" customFormat="1" ht="19.5" customHeight="1" x14ac:dyDescent="0.55000000000000004">
      <c r="A24" s="44">
        <v>1116430</v>
      </c>
      <c r="B24" s="77" t="s">
        <v>186</v>
      </c>
      <c r="C24" s="66" t="s">
        <v>168</v>
      </c>
      <c r="D24" s="66" t="s">
        <v>118</v>
      </c>
      <c r="E24" s="66" t="s">
        <v>162</v>
      </c>
      <c r="F24" s="64">
        <v>142</v>
      </c>
      <c r="G24" s="78">
        <v>114</v>
      </c>
    </row>
    <row r="25" spans="1:7" s="2" customFormat="1" ht="19.5" customHeight="1" x14ac:dyDescent="0.55000000000000004">
      <c r="A25" s="44">
        <v>6597</v>
      </c>
      <c r="B25" s="77" t="s">
        <v>187</v>
      </c>
      <c r="C25" s="66" t="s">
        <v>147</v>
      </c>
      <c r="D25" s="66" t="s">
        <v>118</v>
      </c>
      <c r="E25" s="66" t="s">
        <v>152</v>
      </c>
      <c r="F25" s="64">
        <v>142</v>
      </c>
      <c r="G25" s="78">
        <v>133</v>
      </c>
    </row>
    <row r="26" spans="1:7" s="2" customFormat="1" ht="19.5" customHeight="1" x14ac:dyDescent="0.55000000000000004">
      <c r="A26" s="44">
        <v>920302299</v>
      </c>
      <c r="B26" s="77" t="s">
        <v>188</v>
      </c>
      <c r="C26" s="66" t="s">
        <v>182</v>
      </c>
      <c r="D26" s="66" t="s">
        <v>118</v>
      </c>
      <c r="E26" s="66" t="s">
        <v>148</v>
      </c>
      <c r="F26" s="64">
        <v>142</v>
      </c>
      <c r="G26" s="78">
        <v>96</v>
      </c>
    </row>
    <row r="27" spans="1:7" s="2" customFormat="1" ht="19.5" customHeight="1" x14ac:dyDescent="0.55000000000000004">
      <c r="A27" s="44">
        <v>108068</v>
      </c>
      <c r="B27" s="77" t="s">
        <v>189</v>
      </c>
      <c r="C27" s="66" t="s">
        <v>182</v>
      </c>
      <c r="D27" s="66" t="s">
        <v>118</v>
      </c>
      <c r="E27" s="66" t="s">
        <v>162</v>
      </c>
      <c r="F27" s="64">
        <v>142</v>
      </c>
      <c r="G27" s="78">
        <v>115</v>
      </c>
    </row>
    <row r="28" spans="1:7" s="2" customFormat="1" ht="19.5" customHeight="1" x14ac:dyDescent="0.55000000000000004">
      <c r="A28" s="44">
        <v>6249</v>
      </c>
      <c r="B28" s="77" t="s">
        <v>190</v>
      </c>
      <c r="C28" s="66" t="s">
        <v>161</v>
      </c>
      <c r="D28" s="66" t="s">
        <v>118</v>
      </c>
      <c r="E28" s="66" t="s">
        <v>152</v>
      </c>
      <c r="F28" s="64">
        <v>141</v>
      </c>
      <c r="G28" s="78">
        <v>128</v>
      </c>
    </row>
    <row r="29" spans="1:7" s="2" customFormat="1" ht="19.5" customHeight="1" x14ac:dyDescent="0.55000000000000004">
      <c r="A29" s="44">
        <v>406335</v>
      </c>
      <c r="B29" s="77" t="s">
        <v>191</v>
      </c>
      <c r="C29" s="66" t="s">
        <v>161</v>
      </c>
      <c r="D29" s="66" t="s">
        <v>118</v>
      </c>
      <c r="E29" s="66" t="s">
        <v>148</v>
      </c>
      <c r="F29" s="64">
        <v>141</v>
      </c>
      <c r="G29" s="78">
        <v>127</v>
      </c>
    </row>
    <row r="30" spans="1:7" s="2" customFormat="1" ht="19.5" customHeight="1" x14ac:dyDescent="0.55000000000000004">
      <c r="A30" s="44">
        <v>6666</v>
      </c>
      <c r="B30" s="77" t="s">
        <v>192</v>
      </c>
      <c r="C30" s="66" t="s">
        <v>147</v>
      </c>
      <c r="D30" s="66" t="s">
        <v>118</v>
      </c>
      <c r="E30" s="66" t="s">
        <v>148</v>
      </c>
      <c r="F30" s="64">
        <v>141</v>
      </c>
      <c r="G30" s="78">
        <v>118</v>
      </c>
    </row>
    <row r="31" spans="1:7" s="2" customFormat="1" ht="19.5" customHeight="1" thickBot="1" x14ac:dyDescent="0.6">
      <c r="A31" s="44">
        <v>920302713</v>
      </c>
      <c r="B31" s="79" t="s">
        <v>193</v>
      </c>
      <c r="C31" s="80" t="s">
        <v>154</v>
      </c>
      <c r="D31" s="80" t="s">
        <v>118</v>
      </c>
      <c r="E31" s="80" t="s">
        <v>152</v>
      </c>
      <c r="F31" s="81">
        <v>140</v>
      </c>
      <c r="G31" s="82">
        <v>92</v>
      </c>
    </row>
  </sheetData>
  <sheetProtection insertColumns="0" insertRows="0" deleteColumns="0" deleteRows="0" autoFilter="0"/>
  <autoFilter ref="B1:G1" xr:uid="{A3A6A548-CD13-49D8-A39E-C6A1A4D2C899}"/>
  <conditionalFormatting sqref="F2:F31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2:G3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rintOptions horizontalCentered="1"/>
  <pageMargins left="0.25" right="0.25" top="0.75" bottom="0.75" header="0.3" footer="0.3"/>
  <pageSetup scale="53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BBA347-D692-4B13-9A99-C860C84CBD6A}">
  <sheetPr>
    <tabColor theme="4"/>
    <pageSetUpPr fitToPage="1"/>
  </sheetPr>
  <dimension ref="A1:J42"/>
  <sheetViews>
    <sheetView showGridLines="0" topLeftCell="A19" zoomScale="98" zoomScaleNormal="98" workbookViewId="0">
      <selection sqref="A1:E41"/>
    </sheetView>
  </sheetViews>
  <sheetFormatPr defaultRowHeight="19.5" customHeight="1" x14ac:dyDescent="0.3"/>
  <cols>
    <col min="1" max="1" width="17.109375" style="1" bestFit="1" customWidth="1"/>
    <col min="2" max="2" width="12.109375" style="1" bestFit="1" customWidth="1"/>
    <col min="3" max="5" width="13.21875" style="1" bestFit="1" customWidth="1"/>
    <col min="6" max="6" width="17.21875" style="1" customWidth="1"/>
    <col min="7" max="16384" width="8.88671875" style="1"/>
  </cols>
  <sheetData>
    <row r="1" spans="1:10" s="5" customFormat="1" ht="42.75" customHeight="1" thickTop="1" thickBot="1" x14ac:dyDescent="0.3">
      <c r="A1" s="32" t="s">
        <v>261</v>
      </c>
      <c r="B1" s="32" t="s">
        <v>255</v>
      </c>
      <c r="C1" s="32" t="s">
        <v>256</v>
      </c>
      <c r="D1" s="32" t="s">
        <v>257</v>
      </c>
      <c r="E1" s="32" t="s">
        <v>258</v>
      </c>
      <c r="G1" s="4"/>
      <c r="H1" s="4"/>
      <c r="I1" s="3"/>
      <c r="J1" s="3"/>
    </row>
    <row r="2" spans="1:10" s="7" customFormat="1" ht="19.5" customHeight="1" thickTop="1" thickBot="1" x14ac:dyDescent="0.55000000000000004">
      <c r="A2" s="14" t="s">
        <v>294</v>
      </c>
      <c r="B2" s="33">
        <v>1</v>
      </c>
      <c r="C2" s="33">
        <v>139</v>
      </c>
      <c r="D2" s="34">
        <v>7.6388888888888886E-3</v>
      </c>
      <c r="E2" s="34">
        <v>0.69513888888888886</v>
      </c>
    </row>
    <row r="3" spans="1:10" s="7" customFormat="1" ht="19.5" customHeight="1" thickTop="1" thickBot="1" x14ac:dyDescent="0.55000000000000004">
      <c r="A3" s="14" t="s">
        <v>296</v>
      </c>
      <c r="B3" s="33">
        <v>43</v>
      </c>
      <c r="C3" s="33">
        <v>117</v>
      </c>
      <c r="D3" s="34">
        <v>1.2499999999999999E-2</v>
      </c>
      <c r="E3" s="34">
        <v>0.64861111111111114</v>
      </c>
    </row>
    <row r="4" spans="1:10" s="7" customFormat="1" ht="19.5" customHeight="1" thickTop="1" thickBot="1" x14ac:dyDescent="0.55000000000000004">
      <c r="A4" s="14" t="s">
        <v>175</v>
      </c>
      <c r="B4" s="33">
        <v>58</v>
      </c>
      <c r="C4" s="33">
        <v>111</v>
      </c>
      <c r="D4" s="34">
        <v>9.0277777777777787E-3</v>
      </c>
      <c r="E4" s="34">
        <v>0.66736111111111107</v>
      </c>
    </row>
    <row r="5" spans="1:10" s="7" customFormat="1" ht="19.5" customHeight="1" thickTop="1" thickBot="1" x14ac:dyDescent="0.55000000000000004">
      <c r="A5" s="14" t="s">
        <v>277</v>
      </c>
      <c r="B5" s="33">
        <v>77</v>
      </c>
      <c r="C5" s="33">
        <v>106</v>
      </c>
      <c r="D5" s="34">
        <v>4.7222222222222221E-2</v>
      </c>
      <c r="E5" s="34">
        <v>0.40972222222222227</v>
      </c>
    </row>
    <row r="6" spans="1:10" s="7" customFormat="1" ht="19.5" customHeight="1" thickTop="1" thickBot="1" x14ac:dyDescent="0.55000000000000004">
      <c r="A6" s="14" t="s">
        <v>266</v>
      </c>
      <c r="B6" s="33">
        <v>55</v>
      </c>
      <c r="C6" s="33">
        <v>97</v>
      </c>
      <c r="D6" s="34">
        <v>9.0972222222222218E-2</v>
      </c>
      <c r="E6" s="34">
        <v>0.3354166666666667</v>
      </c>
    </row>
    <row r="7" spans="1:10" s="7" customFormat="1" ht="19.5" customHeight="1" thickTop="1" thickBot="1" x14ac:dyDescent="0.55000000000000004">
      <c r="A7" s="14" t="s">
        <v>162</v>
      </c>
      <c r="B7" s="33">
        <v>85</v>
      </c>
      <c r="C7" s="33">
        <v>91</v>
      </c>
      <c r="D7" s="34">
        <v>5.9027777777777783E-2</v>
      </c>
      <c r="E7" s="34">
        <v>0.55069444444444449</v>
      </c>
    </row>
    <row r="8" spans="1:10" s="7" customFormat="1" ht="19.5" customHeight="1" thickTop="1" thickBot="1" x14ac:dyDescent="0.55000000000000004">
      <c r="A8" s="14" t="s">
        <v>152</v>
      </c>
      <c r="B8" s="33">
        <v>91</v>
      </c>
      <c r="C8" s="33">
        <v>91</v>
      </c>
      <c r="D8" s="34">
        <v>4.3055555555555562E-2</v>
      </c>
      <c r="E8" s="34">
        <v>0.5</v>
      </c>
    </row>
    <row r="9" spans="1:10" s="7" customFormat="1" ht="19.5" customHeight="1" thickTop="1" thickBot="1" x14ac:dyDescent="0.55000000000000004">
      <c r="A9" s="14" t="s">
        <v>184</v>
      </c>
      <c r="B9" s="33">
        <v>44</v>
      </c>
      <c r="C9" s="33">
        <v>90</v>
      </c>
      <c r="D9" s="34">
        <v>2.6388888888888889E-2</v>
      </c>
      <c r="E9" s="34">
        <v>0.62638888888888888</v>
      </c>
    </row>
    <row r="10" spans="1:10" s="7" customFormat="1" ht="19.5" customHeight="1" thickTop="1" thickBot="1" x14ac:dyDescent="0.55000000000000004">
      <c r="A10" s="14" t="s">
        <v>159</v>
      </c>
      <c r="B10" s="33">
        <v>78</v>
      </c>
      <c r="C10" s="33">
        <v>88</v>
      </c>
      <c r="D10" s="34">
        <v>7.9861111111111105E-2</v>
      </c>
      <c r="E10" s="34">
        <v>0.4465277777777778</v>
      </c>
    </row>
    <row r="11" spans="1:10" s="7" customFormat="1" ht="19.5" customHeight="1" thickTop="1" thickBot="1" x14ac:dyDescent="0.55000000000000004">
      <c r="A11" s="14" t="s">
        <v>268</v>
      </c>
      <c r="B11" s="33">
        <v>41</v>
      </c>
      <c r="C11" s="33">
        <v>82</v>
      </c>
      <c r="D11" s="34">
        <v>0.12222222222222223</v>
      </c>
      <c r="E11" s="34">
        <v>0.54722222222222217</v>
      </c>
    </row>
    <row r="12" spans="1:10" s="7" customFormat="1" ht="19.5" customHeight="1" thickTop="1" thickBot="1" x14ac:dyDescent="0.55000000000000004">
      <c r="A12" s="14" t="s">
        <v>269</v>
      </c>
      <c r="B12" s="33">
        <v>95</v>
      </c>
      <c r="C12" s="33">
        <v>81</v>
      </c>
      <c r="D12" s="34">
        <v>4.6527777777777779E-2</v>
      </c>
      <c r="E12" s="34">
        <v>0.44027777777777777</v>
      </c>
    </row>
    <row r="13" spans="1:10" s="7" customFormat="1" ht="19.5" customHeight="1" thickTop="1" thickBot="1" x14ac:dyDescent="0.55000000000000004">
      <c r="A13" s="14" t="s">
        <v>272</v>
      </c>
      <c r="B13" s="37">
        <v>69</v>
      </c>
      <c r="C13" s="37">
        <v>81</v>
      </c>
      <c r="D13" s="36">
        <v>3.6111111111111115E-2</v>
      </c>
      <c r="E13" s="36">
        <v>0.52777777777777779</v>
      </c>
    </row>
    <row r="14" spans="1:10" s="7" customFormat="1" ht="19.5" customHeight="1" thickTop="1" thickBot="1" x14ac:dyDescent="0.55000000000000004">
      <c r="A14" s="14" t="s">
        <v>281</v>
      </c>
      <c r="B14" s="33">
        <v>22</v>
      </c>
      <c r="C14" s="33">
        <v>79</v>
      </c>
      <c r="D14" s="34">
        <v>9.5833333333333326E-2</v>
      </c>
      <c r="E14" s="34">
        <v>0.4465277777777778</v>
      </c>
    </row>
    <row r="15" spans="1:10" s="7" customFormat="1" ht="19.5" customHeight="1" thickTop="1" thickBot="1" x14ac:dyDescent="0.55000000000000004">
      <c r="A15" s="14" t="s">
        <v>267</v>
      </c>
      <c r="B15" s="35">
        <v>49</v>
      </c>
      <c r="C15" s="35">
        <v>74</v>
      </c>
      <c r="D15" s="36">
        <v>2.6388888888888889E-2</v>
      </c>
      <c r="E15" s="36">
        <v>0.41180555555555554</v>
      </c>
    </row>
    <row r="16" spans="1:10" s="7" customFormat="1" ht="19.5" customHeight="1" thickTop="1" thickBot="1" x14ac:dyDescent="0.55000000000000004">
      <c r="A16" s="14" t="s">
        <v>279</v>
      </c>
      <c r="B16" s="33">
        <v>19</v>
      </c>
      <c r="C16" s="33">
        <v>70</v>
      </c>
      <c r="D16" s="34">
        <v>0.18472222222222223</v>
      </c>
      <c r="E16" s="34">
        <v>0.3520833333333333</v>
      </c>
    </row>
    <row r="17" spans="1:5" s="7" customFormat="1" ht="19.5" customHeight="1" thickTop="1" thickBot="1" x14ac:dyDescent="0.55000000000000004">
      <c r="A17" s="14" t="s">
        <v>262</v>
      </c>
      <c r="B17" s="33">
        <v>12</v>
      </c>
      <c r="C17" s="33">
        <v>69</v>
      </c>
      <c r="D17" s="34">
        <v>8.0555555555555561E-2</v>
      </c>
      <c r="E17" s="34">
        <v>0.55486111111111114</v>
      </c>
    </row>
    <row r="18" spans="1:5" s="7" customFormat="1" ht="19.5" customHeight="1" thickTop="1" thickBot="1" x14ac:dyDescent="0.55000000000000004">
      <c r="A18" s="14" t="s">
        <v>264</v>
      </c>
      <c r="B18" s="33">
        <v>28</v>
      </c>
      <c r="C18" s="33">
        <v>69</v>
      </c>
      <c r="D18" s="34">
        <v>9.4444444444444442E-2</v>
      </c>
      <c r="E18" s="34">
        <v>0.40347222222222223</v>
      </c>
    </row>
    <row r="19" spans="1:5" s="7" customFormat="1" ht="19.5" customHeight="1" thickTop="1" thickBot="1" x14ac:dyDescent="0.55000000000000004">
      <c r="A19" s="14" t="s">
        <v>274</v>
      </c>
      <c r="B19" s="37">
        <v>72</v>
      </c>
      <c r="C19" s="37">
        <v>69</v>
      </c>
      <c r="D19" s="36">
        <v>0.13055555555555556</v>
      </c>
      <c r="E19" s="36">
        <v>0.57777777777777783</v>
      </c>
    </row>
    <row r="20" spans="1:5" s="7" customFormat="1" ht="19.5" customHeight="1" thickTop="1" thickBot="1" x14ac:dyDescent="0.55000000000000004">
      <c r="A20" s="14" t="s">
        <v>263</v>
      </c>
      <c r="B20" s="33">
        <v>57</v>
      </c>
      <c r="C20" s="33">
        <v>68</v>
      </c>
      <c r="D20" s="34">
        <v>2.4305555555555556E-2</v>
      </c>
      <c r="E20" s="34">
        <v>0.5229166666666667</v>
      </c>
    </row>
    <row r="21" spans="1:5" s="7" customFormat="1" ht="19.5" customHeight="1" thickTop="1" thickBot="1" x14ac:dyDescent="0.55000000000000004">
      <c r="A21" s="14" t="s">
        <v>270</v>
      </c>
      <c r="B21" s="33">
        <v>32</v>
      </c>
      <c r="C21" s="33">
        <v>66</v>
      </c>
      <c r="D21" s="34">
        <v>6.458333333333334E-2</v>
      </c>
      <c r="E21" s="34">
        <v>0.42291666666666666</v>
      </c>
    </row>
    <row r="22" spans="1:5" s="7" customFormat="1" ht="19.5" customHeight="1" thickTop="1" thickBot="1" x14ac:dyDescent="0.55000000000000004">
      <c r="A22" s="14" t="s">
        <v>273</v>
      </c>
      <c r="B22" s="33">
        <v>41</v>
      </c>
      <c r="C22" s="33">
        <v>66</v>
      </c>
      <c r="D22" s="34">
        <v>1.1111111111111112E-2</v>
      </c>
      <c r="E22" s="34">
        <v>0.4069444444444445</v>
      </c>
    </row>
    <row r="23" spans="1:5" s="7" customFormat="1" ht="19.5" customHeight="1" thickTop="1" thickBot="1" x14ac:dyDescent="0.55000000000000004">
      <c r="A23" s="14" t="s">
        <v>275</v>
      </c>
      <c r="B23" s="33">
        <v>44</v>
      </c>
      <c r="C23" s="33">
        <v>62</v>
      </c>
      <c r="D23" s="34">
        <v>2.2916666666666669E-2</v>
      </c>
      <c r="E23" s="34">
        <v>0.4145833333333333</v>
      </c>
    </row>
    <row r="24" spans="1:5" s="7" customFormat="1" ht="19.5" customHeight="1" thickTop="1" thickBot="1" x14ac:dyDescent="0.55000000000000004">
      <c r="A24" s="14" t="s">
        <v>265</v>
      </c>
      <c r="B24" s="33">
        <v>30</v>
      </c>
      <c r="C24" s="33">
        <v>57</v>
      </c>
      <c r="D24" s="34">
        <v>9.1666666666666674E-2</v>
      </c>
      <c r="E24" s="34">
        <v>0.47361111111111115</v>
      </c>
    </row>
    <row r="25" spans="1:5" s="7" customFormat="1" ht="19.5" customHeight="1" thickTop="1" thickBot="1" x14ac:dyDescent="0.55000000000000004">
      <c r="A25" s="14" t="s">
        <v>288</v>
      </c>
      <c r="B25" s="33">
        <v>12</v>
      </c>
      <c r="C25" s="33">
        <v>55</v>
      </c>
      <c r="D25" s="34">
        <v>3.6111111111111115E-2</v>
      </c>
      <c r="E25" s="34">
        <v>0.46388888888888885</v>
      </c>
    </row>
    <row r="26" spans="1:5" s="7" customFormat="1" ht="19.5" customHeight="1" thickTop="1" thickBot="1" x14ac:dyDescent="0.55000000000000004">
      <c r="A26" s="14" t="s">
        <v>278</v>
      </c>
      <c r="B26" s="33">
        <v>29</v>
      </c>
      <c r="C26" s="33">
        <v>54</v>
      </c>
      <c r="D26" s="34">
        <v>2.2916666666666669E-2</v>
      </c>
      <c r="E26" s="34">
        <v>0.46319444444444446</v>
      </c>
    </row>
    <row r="27" spans="1:5" s="7" customFormat="1" ht="19.5" customHeight="1" thickTop="1" thickBot="1" x14ac:dyDescent="0.55000000000000004">
      <c r="A27" s="14" t="s">
        <v>289</v>
      </c>
      <c r="B27" s="37">
        <v>2</v>
      </c>
      <c r="C27" s="37">
        <v>54</v>
      </c>
      <c r="D27" s="36">
        <v>9.7222222222222224E-3</v>
      </c>
      <c r="E27" s="36">
        <v>0.22777777777777777</v>
      </c>
    </row>
    <row r="28" spans="1:5" s="7" customFormat="1" ht="19.5" customHeight="1" thickTop="1" thickBot="1" x14ac:dyDescent="0.55000000000000004">
      <c r="A28" s="14" t="s">
        <v>271</v>
      </c>
      <c r="B28" s="33">
        <v>29</v>
      </c>
      <c r="C28" s="33">
        <v>53</v>
      </c>
      <c r="D28" s="34">
        <v>2.6388888888888889E-2</v>
      </c>
      <c r="E28" s="34">
        <v>0.45555555555555555</v>
      </c>
    </row>
    <row r="29" spans="1:5" s="7" customFormat="1" ht="19.5" customHeight="1" thickTop="1" thickBot="1" x14ac:dyDescent="0.55000000000000004">
      <c r="A29" s="14" t="s">
        <v>290</v>
      </c>
      <c r="B29" s="37">
        <v>2</v>
      </c>
      <c r="C29" s="37">
        <v>53</v>
      </c>
      <c r="D29" s="36">
        <v>0.14722222222222223</v>
      </c>
      <c r="E29" s="36">
        <v>0.43958333333333338</v>
      </c>
    </row>
    <row r="30" spans="1:5" s="7" customFormat="1" ht="19.5" customHeight="1" thickTop="1" thickBot="1" x14ac:dyDescent="0.55000000000000004">
      <c r="A30" s="14" t="s">
        <v>282</v>
      </c>
      <c r="B30" s="37">
        <v>17</v>
      </c>
      <c r="C30" s="37">
        <v>52</v>
      </c>
      <c r="D30" s="36">
        <v>6.25E-2</v>
      </c>
      <c r="E30" s="36">
        <v>0.44305555555555554</v>
      </c>
    </row>
    <row r="31" spans="1:5" s="7" customFormat="1" ht="19.5" customHeight="1" thickTop="1" thickBot="1" x14ac:dyDescent="0.55000000000000004">
      <c r="A31" s="14" t="s">
        <v>280</v>
      </c>
      <c r="B31" s="33">
        <v>20</v>
      </c>
      <c r="C31" s="33">
        <v>51</v>
      </c>
      <c r="D31" s="34">
        <v>5.6250000000000001E-2</v>
      </c>
      <c r="E31" s="34">
        <v>0.54861111111111105</v>
      </c>
    </row>
    <row r="32" spans="1:5" s="7" customFormat="1" ht="19.5" customHeight="1" thickTop="1" thickBot="1" x14ac:dyDescent="0.55000000000000004">
      <c r="A32" s="14" t="s">
        <v>293</v>
      </c>
      <c r="B32" s="33">
        <v>2</v>
      </c>
      <c r="C32" s="33">
        <v>51</v>
      </c>
      <c r="D32" s="34">
        <v>3.472222222222222E-3</v>
      </c>
      <c r="E32" s="34">
        <v>0.54375000000000007</v>
      </c>
    </row>
    <row r="33" spans="1:5" s="7" customFormat="1" ht="19.5" customHeight="1" thickTop="1" thickBot="1" x14ac:dyDescent="0.55000000000000004">
      <c r="A33" s="14" t="s">
        <v>286</v>
      </c>
      <c r="B33" s="37">
        <v>24</v>
      </c>
      <c r="C33" s="37">
        <v>48</v>
      </c>
      <c r="D33" s="36">
        <v>1.1805555555555555E-2</v>
      </c>
      <c r="E33" s="36">
        <v>0.45624999999999999</v>
      </c>
    </row>
    <row r="34" spans="1:5" s="7" customFormat="1" ht="19.5" customHeight="1" thickTop="1" thickBot="1" x14ac:dyDescent="0.55000000000000004">
      <c r="A34" s="14" t="s">
        <v>285</v>
      </c>
      <c r="B34" s="33">
        <v>23</v>
      </c>
      <c r="C34" s="33">
        <v>47</v>
      </c>
      <c r="D34" s="34">
        <v>3.5416666666666666E-2</v>
      </c>
      <c r="E34" s="34">
        <v>0.56736111111111109</v>
      </c>
    </row>
    <row r="35" spans="1:5" s="7" customFormat="1" ht="19.5" customHeight="1" thickTop="1" thickBot="1" x14ac:dyDescent="0.55000000000000004">
      <c r="A35" s="14" t="s">
        <v>284</v>
      </c>
      <c r="B35" s="33">
        <v>28</v>
      </c>
      <c r="C35" s="33">
        <v>45</v>
      </c>
      <c r="D35" s="34">
        <v>7.2222222222222229E-2</v>
      </c>
      <c r="E35" s="34">
        <v>0.4826388888888889</v>
      </c>
    </row>
    <row r="36" spans="1:5" s="7" customFormat="1" ht="19.5" customHeight="1" thickTop="1" thickBot="1" x14ac:dyDescent="0.55000000000000004">
      <c r="A36" s="14" t="s">
        <v>291</v>
      </c>
      <c r="B36" s="33">
        <v>2</v>
      </c>
      <c r="C36" s="33">
        <v>45</v>
      </c>
      <c r="D36" s="34">
        <v>2.2222222222222223E-2</v>
      </c>
      <c r="E36" s="34">
        <v>0.5180555555555556</v>
      </c>
    </row>
    <row r="37" spans="1:5" s="7" customFormat="1" ht="19.5" customHeight="1" thickTop="1" thickBot="1" x14ac:dyDescent="0.55000000000000004">
      <c r="A37" s="14" t="s">
        <v>276</v>
      </c>
      <c r="B37" s="37">
        <v>27</v>
      </c>
      <c r="C37" s="37">
        <v>39</v>
      </c>
      <c r="D37" s="36">
        <v>1.8055555555555557E-2</v>
      </c>
      <c r="E37" s="36">
        <v>0.80347222222222225</v>
      </c>
    </row>
    <row r="38" spans="1:5" s="7" customFormat="1" ht="19.5" customHeight="1" thickTop="1" thickBot="1" x14ac:dyDescent="0.55000000000000004">
      <c r="A38" s="14" t="s">
        <v>292</v>
      </c>
      <c r="B38" s="37">
        <v>2</v>
      </c>
      <c r="C38" s="37">
        <v>38</v>
      </c>
      <c r="D38" s="36">
        <v>2.0833333333333333E-3</v>
      </c>
      <c r="E38" s="36">
        <v>0.29722222222222222</v>
      </c>
    </row>
    <row r="39" spans="1:5" s="7" customFormat="1" ht="19.5" customHeight="1" thickTop="1" thickBot="1" x14ac:dyDescent="0.55000000000000004">
      <c r="A39" s="14" t="s">
        <v>295</v>
      </c>
      <c r="B39" s="38">
        <v>6</v>
      </c>
      <c r="C39" s="38">
        <v>36</v>
      </c>
      <c r="D39" s="39">
        <v>2.9861111111111113E-2</v>
      </c>
      <c r="E39" s="39">
        <v>0.5493055555555556</v>
      </c>
    </row>
    <row r="40" spans="1:5" s="7" customFormat="1" ht="19.5" customHeight="1" thickTop="1" thickBot="1" x14ac:dyDescent="0.55000000000000004">
      <c r="A40" s="14" t="s">
        <v>287</v>
      </c>
      <c r="B40" s="40">
        <v>11</v>
      </c>
      <c r="C40" s="40">
        <v>34</v>
      </c>
      <c r="D40" s="41">
        <v>0.22708333333333333</v>
      </c>
      <c r="E40" s="41">
        <v>0.44236111111111115</v>
      </c>
    </row>
    <row r="41" spans="1:5" s="7" customFormat="1" ht="19.5" customHeight="1" thickTop="1" thickBot="1" x14ac:dyDescent="0.55000000000000004">
      <c r="A41" s="14" t="s">
        <v>283</v>
      </c>
      <c r="B41" s="33">
        <v>24</v>
      </c>
      <c r="C41" s="33">
        <v>29</v>
      </c>
      <c r="D41" s="34">
        <v>0.24513888888888888</v>
      </c>
      <c r="E41" s="34">
        <v>0.4604166666666667</v>
      </c>
    </row>
    <row r="42" spans="1:5" ht="19.5" customHeight="1" thickTop="1" x14ac:dyDescent="0.3"/>
  </sheetData>
  <sheetProtection insertColumns="0" insertRows="0" deleteColumns="0" deleteRows="0" autoFilter="0"/>
  <autoFilter ref="A1:E41" xr:uid="{8B8B07B1-D814-459D-A1FA-1274B1CF6241}">
    <sortState xmlns:xlrd2="http://schemas.microsoft.com/office/spreadsheetml/2017/richdata2" ref="A2:E41">
      <sortCondition descending="1" ref="C1:C41"/>
    </sortState>
  </autoFilter>
  <conditionalFormatting sqref="C2:C41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2:D41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2:E4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rintOptions horizontalCentered="1"/>
  <pageMargins left="0.25" right="0.25" top="0.75" bottom="0.75" header="0.3" footer="0.3"/>
  <pageSetup scale="53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592525-4B8F-49AD-8FB5-B53DF36ACD0C}">
  <sheetPr>
    <tabColor theme="4"/>
    <pageSetUpPr fitToPage="1"/>
  </sheetPr>
  <dimension ref="A1:J277"/>
  <sheetViews>
    <sheetView showGridLines="0" zoomScale="98" zoomScaleNormal="98" workbookViewId="0">
      <selection activeCell="A5" sqref="A1:E277"/>
    </sheetView>
  </sheetViews>
  <sheetFormatPr defaultRowHeight="19.5" customHeight="1" x14ac:dyDescent="0.3"/>
  <cols>
    <col min="1" max="1" width="45.21875" style="109" customWidth="1"/>
    <col min="2" max="2" width="12.109375" style="1" bestFit="1" customWidth="1"/>
    <col min="3" max="5" width="13.21875" style="1" bestFit="1" customWidth="1"/>
    <col min="6" max="6" width="17.21875" style="1" customWidth="1"/>
    <col min="7" max="16384" width="8.88671875" style="1"/>
  </cols>
  <sheetData>
    <row r="1" spans="1:10" s="5" customFormat="1" ht="42.75" customHeight="1" thickTop="1" thickBot="1" x14ac:dyDescent="0.3">
      <c r="A1" s="32" t="s">
        <v>297</v>
      </c>
      <c r="B1" s="32" t="s">
        <v>255</v>
      </c>
      <c r="C1" s="32" t="s">
        <v>256</v>
      </c>
      <c r="D1" s="32" t="s">
        <v>257</v>
      </c>
      <c r="E1" s="32" t="s">
        <v>258</v>
      </c>
      <c r="G1" s="4"/>
      <c r="H1" s="4"/>
      <c r="I1" s="3"/>
      <c r="J1" s="3"/>
    </row>
    <row r="2" spans="1:10" s="7" customFormat="1" ht="19.5" customHeight="1" thickTop="1" x14ac:dyDescent="0.3">
      <c r="A2" s="108" t="s">
        <v>26</v>
      </c>
      <c r="B2" s="9">
        <v>1</v>
      </c>
      <c r="C2" s="9">
        <v>287</v>
      </c>
      <c r="D2" s="10">
        <v>4.8611111111111112E-3</v>
      </c>
      <c r="E2" s="10">
        <v>0.45902777777777781</v>
      </c>
    </row>
    <row r="3" spans="1:10" s="7" customFormat="1" ht="19.5" customHeight="1" x14ac:dyDescent="0.3">
      <c r="A3" s="108" t="s">
        <v>464</v>
      </c>
      <c r="B3" s="9">
        <v>1</v>
      </c>
      <c r="C3" s="9">
        <v>139</v>
      </c>
      <c r="D3" s="10">
        <v>7.6388888888888886E-3</v>
      </c>
      <c r="E3" s="10">
        <v>0.69513888888888886</v>
      </c>
    </row>
    <row r="4" spans="1:10" s="7" customFormat="1" ht="19.5" customHeight="1" x14ac:dyDescent="0.3">
      <c r="A4" s="108" t="s">
        <v>370</v>
      </c>
      <c r="B4" s="9">
        <v>1</v>
      </c>
      <c r="C4" s="9">
        <v>122</v>
      </c>
      <c r="D4" s="10">
        <v>3.7499999999999999E-2</v>
      </c>
      <c r="E4" s="10">
        <v>0.8256944444444444</v>
      </c>
    </row>
    <row r="5" spans="1:10" s="7" customFormat="1" ht="19.5" customHeight="1" x14ac:dyDescent="0.3">
      <c r="A5" s="108" t="s">
        <v>59</v>
      </c>
      <c r="B5" s="9">
        <v>1</v>
      </c>
      <c r="C5" s="9">
        <v>118</v>
      </c>
      <c r="D5" s="10">
        <v>8.3333333333333332E-3</v>
      </c>
      <c r="E5" s="10">
        <v>0.43055555555555558</v>
      </c>
    </row>
    <row r="6" spans="1:10" s="7" customFormat="1" ht="19.5" customHeight="1" x14ac:dyDescent="0.3">
      <c r="A6" s="108" t="s">
        <v>369</v>
      </c>
      <c r="B6" s="9">
        <v>1</v>
      </c>
      <c r="C6" s="9">
        <v>116</v>
      </c>
      <c r="D6" s="10">
        <v>0</v>
      </c>
      <c r="E6" s="10">
        <v>0.54583333333333328</v>
      </c>
    </row>
    <row r="7" spans="1:10" s="7" customFormat="1" ht="19.5" customHeight="1" x14ac:dyDescent="0.3">
      <c r="A7" s="108" t="s">
        <v>174</v>
      </c>
      <c r="B7" s="9">
        <v>98</v>
      </c>
      <c r="C7" s="9">
        <v>114</v>
      </c>
      <c r="D7" s="10">
        <v>9.7222222222222224E-3</v>
      </c>
      <c r="E7" s="10">
        <v>0.65625</v>
      </c>
    </row>
    <row r="8" spans="1:10" s="7" customFormat="1" ht="19.5" customHeight="1" x14ac:dyDescent="0.3">
      <c r="A8" s="108" t="s">
        <v>37</v>
      </c>
      <c r="B8" s="9">
        <v>1</v>
      </c>
      <c r="C8" s="9">
        <v>109</v>
      </c>
      <c r="D8" s="10">
        <v>0</v>
      </c>
      <c r="E8" s="10">
        <v>0.73402777777777783</v>
      </c>
    </row>
    <row r="9" spans="1:10" s="7" customFormat="1" ht="19.5" customHeight="1" x14ac:dyDescent="0.3">
      <c r="A9" s="108" t="s">
        <v>473</v>
      </c>
      <c r="B9" s="9">
        <v>2</v>
      </c>
      <c r="C9" s="9">
        <v>102</v>
      </c>
      <c r="D9" s="10">
        <v>5.2083333333333336E-2</v>
      </c>
      <c r="E9" s="10">
        <v>0.73819444444444438</v>
      </c>
    </row>
    <row r="10" spans="1:10" s="7" customFormat="1" ht="19.5" customHeight="1" x14ac:dyDescent="0.3">
      <c r="A10" s="108" t="s">
        <v>438</v>
      </c>
      <c r="B10" s="9">
        <v>1</v>
      </c>
      <c r="C10" s="9">
        <v>102</v>
      </c>
      <c r="D10" s="10">
        <v>0</v>
      </c>
      <c r="E10" s="10">
        <v>0.93680555555555556</v>
      </c>
    </row>
    <row r="11" spans="1:10" s="7" customFormat="1" ht="19.5" customHeight="1" x14ac:dyDescent="0.3">
      <c r="A11" s="108" t="s">
        <v>343</v>
      </c>
      <c r="B11" s="9">
        <v>1</v>
      </c>
      <c r="C11" s="9">
        <v>95</v>
      </c>
      <c r="D11" s="10">
        <v>6.9444444444444447E-4</v>
      </c>
      <c r="E11" s="10">
        <v>0.31805555555555554</v>
      </c>
    </row>
    <row r="12" spans="1:10" s="7" customFormat="1" ht="19.5" customHeight="1" x14ac:dyDescent="0.3">
      <c r="A12" s="108" t="s">
        <v>475</v>
      </c>
      <c r="B12" s="9">
        <v>14</v>
      </c>
      <c r="C12" s="9">
        <v>92</v>
      </c>
      <c r="D12" s="10">
        <v>2.5694444444444447E-2</v>
      </c>
      <c r="E12" s="10">
        <v>0.68611111111111101</v>
      </c>
    </row>
    <row r="13" spans="1:10" s="7" customFormat="1" ht="19.5" customHeight="1" x14ac:dyDescent="0.3">
      <c r="A13" s="108" t="s">
        <v>156</v>
      </c>
      <c r="B13" s="9">
        <v>25</v>
      </c>
      <c r="C13" s="9">
        <v>89</v>
      </c>
      <c r="D13" s="10">
        <v>4.5138888888888888E-2</v>
      </c>
      <c r="E13" s="10">
        <v>0.66388888888888886</v>
      </c>
    </row>
    <row r="14" spans="1:10" s="7" customFormat="1" ht="19.5" customHeight="1" x14ac:dyDescent="0.3">
      <c r="A14" s="108" t="s">
        <v>150</v>
      </c>
      <c r="B14" s="9">
        <v>17</v>
      </c>
      <c r="C14" s="9">
        <v>87</v>
      </c>
      <c r="D14" s="10">
        <v>3.0555555555555555E-2</v>
      </c>
      <c r="E14" s="10">
        <v>0.54861111111111105</v>
      </c>
    </row>
    <row r="15" spans="1:10" s="7" customFormat="1" ht="19.5" customHeight="1" x14ac:dyDescent="0.3">
      <c r="A15" s="108" t="s">
        <v>158</v>
      </c>
      <c r="B15" s="9">
        <v>21</v>
      </c>
      <c r="C15" s="9">
        <v>86</v>
      </c>
      <c r="D15" s="10">
        <v>7.8472222222222221E-2</v>
      </c>
      <c r="E15" s="10">
        <v>0.60555555555555551</v>
      </c>
    </row>
    <row r="16" spans="1:10" s="7" customFormat="1" ht="19.5" customHeight="1" x14ac:dyDescent="0.3">
      <c r="A16" s="108" t="s">
        <v>161</v>
      </c>
      <c r="B16" s="9">
        <v>242</v>
      </c>
      <c r="C16" s="9">
        <v>84</v>
      </c>
      <c r="D16" s="10">
        <v>5.347222222222222E-2</v>
      </c>
      <c r="E16" s="10">
        <v>0.60555555555555551</v>
      </c>
    </row>
    <row r="17" spans="1:5" s="7" customFormat="1" ht="19.5" customHeight="1" x14ac:dyDescent="0.3">
      <c r="A17" s="108" t="s">
        <v>168</v>
      </c>
      <c r="B17" s="9">
        <v>43</v>
      </c>
      <c r="C17" s="9">
        <v>84</v>
      </c>
      <c r="D17" s="10">
        <v>7.1527777777777787E-2</v>
      </c>
      <c r="E17" s="10">
        <v>0.48402777777777778</v>
      </c>
    </row>
    <row r="18" spans="1:5" s="7" customFormat="1" ht="19.5" customHeight="1" x14ac:dyDescent="0.3">
      <c r="A18" s="108" t="s">
        <v>182</v>
      </c>
      <c r="B18" s="9">
        <v>116</v>
      </c>
      <c r="C18" s="9">
        <v>81</v>
      </c>
      <c r="D18" s="10">
        <v>5.8333333333333327E-2</v>
      </c>
      <c r="E18" s="10">
        <v>0.57152777777777775</v>
      </c>
    </row>
    <row r="19" spans="1:5" s="7" customFormat="1" ht="19.5" customHeight="1" x14ac:dyDescent="0.3">
      <c r="A19" s="108" t="s">
        <v>509</v>
      </c>
      <c r="B19" s="9">
        <v>1</v>
      </c>
      <c r="C19" s="9">
        <v>79</v>
      </c>
      <c r="D19" s="10">
        <v>1.5972222222222224E-2</v>
      </c>
      <c r="E19" s="10">
        <v>0.84791666666666676</v>
      </c>
    </row>
    <row r="20" spans="1:5" s="7" customFormat="1" ht="19.5" customHeight="1" x14ac:dyDescent="0.3">
      <c r="A20" s="108" t="s">
        <v>452</v>
      </c>
      <c r="B20" s="9">
        <v>7</v>
      </c>
      <c r="C20" s="9">
        <v>77</v>
      </c>
      <c r="D20" s="10">
        <v>2.0833333333333333E-3</v>
      </c>
      <c r="E20" s="10">
        <v>0.86736111111111114</v>
      </c>
    </row>
    <row r="21" spans="1:5" s="7" customFormat="1" ht="19.5" customHeight="1" x14ac:dyDescent="0.3">
      <c r="A21" s="108" t="s">
        <v>515</v>
      </c>
      <c r="B21" s="9">
        <v>7</v>
      </c>
      <c r="C21" s="9">
        <v>77</v>
      </c>
      <c r="D21" s="10">
        <v>2.0833333333333332E-2</v>
      </c>
      <c r="E21" s="10">
        <v>0.6333333333333333</v>
      </c>
    </row>
    <row r="22" spans="1:5" s="7" customFormat="1" ht="19.5" customHeight="1" x14ac:dyDescent="0.3">
      <c r="A22" s="108" t="s">
        <v>406</v>
      </c>
      <c r="B22" s="9">
        <v>1</v>
      </c>
      <c r="C22" s="9">
        <v>74</v>
      </c>
      <c r="D22" s="10">
        <v>3.472222222222222E-3</v>
      </c>
      <c r="E22" s="10">
        <v>0.19513888888888889</v>
      </c>
    </row>
    <row r="23" spans="1:5" s="7" customFormat="1" ht="19.5" customHeight="1" x14ac:dyDescent="0.3">
      <c r="A23" s="108" t="s">
        <v>147</v>
      </c>
      <c r="B23" s="9">
        <v>353</v>
      </c>
      <c r="C23" s="9">
        <v>73</v>
      </c>
      <c r="D23" s="10">
        <v>5.6944444444444443E-2</v>
      </c>
      <c r="E23" s="10">
        <v>0.4513888888888889</v>
      </c>
    </row>
    <row r="24" spans="1:5" s="7" customFormat="1" ht="19.5" customHeight="1" x14ac:dyDescent="0.3">
      <c r="A24" s="108" t="s">
        <v>472</v>
      </c>
      <c r="B24" s="9">
        <v>24</v>
      </c>
      <c r="C24" s="9">
        <v>73</v>
      </c>
      <c r="D24" s="10">
        <v>0.14583333333333334</v>
      </c>
      <c r="E24" s="10">
        <v>0.63055555555555554</v>
      </c>
    </row>
    <row r="25" spans="1:5" s="7" customFormat="1" ht="19.5" customHeight="1" x14ac:dyDescent="0.3">
      <c r="A25" s="108" t="s">
        <v>56</v>
      </c>
      <c r="B25" s="9">
        <v>1197</v>
      </c>
      <c r="C25" s="9">
        <v>70</v>
      </c>
      <c r="D25" s="10">
        <v>6.5277777777777782E-2</v>
      </c>
      <c r="E25" s="10">
        <v>0.53402777777777777</v>
      </c>
    </row>
    <row r="26" spans="1:5" s="7" customFormat="1" ht="19.5" customHeight="1" x14ac:dyDescent="0.3">
      <c r="A26" s="108" t="s">
        <v>47</v>
      </c>
      <c r="B26" s="9">
        <v>31</v>
      </c>
      <c r="C26" s="9">
        <v>70</v>
      </c>
      <c r="D26" s="10">
        <v>0</v>
      </c>
      <c r="E26" s="10">
        <v>0.69374999999999998</v>
      </c>
    </row>
    <row r="27" spans="1:5" s="7" customFormat="1" ht="19.5" customHeight="1" x14ac:dyDescent="0.3">
      <c r="A27" s="108" t="s">
        <v>384</v>
      </c>
      <c r="B27" s="9">
        <v>1</v>
      </c>
      <c r="C27" s="9">
        <v>69</v>
      </c>
      <c r="D27" s="10">
        <v>0</v>
      </c>
      <c r="E27" s="10">
        <v>0.2722222222222222</v>
      </c>
    </row>
    <row r="28" spans="1:5" s="7" customFormat="1" ht="19.5" customHeight="1" x14ac:dyDescent="0.3">
      <c r="A28" s="108" t="s">
        <v>507</v>
      </c>
      <c r="B28" s="9">
        <v>13</v>
      </c>
      <c r="C28" s="9">
        <v>68</v>
      </c>
      <c r="D28" s="10">
        <v>7.4305555555555555E-2</v>
      </c>
      <c r="E28" s="10">
        <v>0.61111111111111105</v>
      </c>
    </row>
    <row r="29" spans="1:5" s="7" customFormat="1" ht="19.5" customHeight="1" x14ac:dyDescent="0.3">
      <c r="A29" s="108" t="s">
        <v>345</v>
      </c>
      <c r="B29" s="9">
        <v>1</v>
      </c>
      <c r="C29" s="9">
        <v>68</v>
      </c>
      <c r="D29" s="10">
        <v>0</v>
      </c>
      <c r="E29" s="10">
        <v>0.46319444444444446</v>
      </c>
    </row>
    <row r="30" spans="1:5" s="7" customFormat="1" ht="19.5" customHeight="1" x14ac:dyDescent="0.3">
      <c r="A30" s="108" t="s">
        <v>154</v>
      </c>
      <c r="B30" s="9">
        <v>349</v>
      </c>
      <c r="C30" s="9">
        <v>67</v>
      </c>
      <c r="D30" s="10">
        <v>7.013888888888889E-2</v>
      </c>
      <c r="E30" s="10">
        <v>0.3430555555555555</v>
      </c>
    </row>
    <row r="31" spans="1:5" s="7" customFormat="1" ht="19.5" customHeight="1" x14ac:dyDescent="0.3">
      <c r="A31" s="108" t="s">
        <v>68</v>
      </c>
      <c r="B31" s="9">
        <v>1216</v>
      </c>
      <c r="C31" s="9">
        <v>66</v>
      </c>
      <c r="D31" s="10">
        <v>5.5555555555555552E-2</v>
      </c>
      <c r="E31" s="10">
        <v>0.4916666666666667</v>
      </c>
    </row>
    <row r="32" spans="1:5" s="7" customFormat="1" ht="19.5" customHeight="1" x14ac:dyDescent="0.3">
      <c r="A32" s="108" t="s">
        <v>463</v>
      </c>
      <c r="B32" s="9">
        <v>7</v>
      </c>
      <c r="C32" s="9">
        <v>66</v>
      </c>
      <c r="D32" s="10">
        <v>0.19999999999999998</v>
      </c>
      <c r="E32" s="10">
        <v>0.87638888888888899</v>
      </c>
    </row>
    <row r="33" spans="1:5" s="7" customFormat="1" ht="19.5" customHeight="1" x14ac:dyDescent="0.3">
      <c r="A33" s="108" t="s">
        <v>34</v>
      </c>
      <c r="B33" s="9">
        <v>6</v>
      </c>
      <c r="C33" s="9">
        <v>66</v>
      </c>
      <c r="D33" s="10">
        <v>6.0416666666666667E-2</v>
      </c>
      <c r="E33" s="10">
        <v>0.45624999999999999</v>
      </c>
    </row>
    <row r="34" spans="1:5" s="7" customFormat="1" ht="19.5" customHeight="1" x14ac:dyDescent="0.3">
      <c r="A34" s="108" t="s">
        <v>342</v>
      </c>
      <c r="B34" s="9">
        <v>1</v>
      </c>
      <c r="C34" s="9">
        <v>65</v>
      </c>
      <c r="D34" s="10">
        <v>4.8611111111111112E-3</v>
      </c>
      <c r="E34" s="10">
        <v>0.54652777777777783</v>
      </c>
    </row>
    <row r="35" spans="1:5" s="7" customFormat="1" ht="19.5" customHeight="1" x14ac:dyDescent="0.3">
      <c r="A35" s="108" t="s">
        <v>38</v>
      </c>
      <c r="B35" s="9">
        <v>100</v>
      </c>
      <c r="C35" s="9">
        <v>63</v>
      </c>
      <c r="D35" s="10">
        <v>7.9861111111111105E-2</v>
      </c>
      <c r="E35" s="10">
        <v>0.51874999999999993</v>
      </c>
    </row>
    <row r="36" spans="1:5" s="7" customFormat="1" ht="19.5" customHeight="1" x14ac:dyDescent="0.3">
      <c r="A36" s="108" t="s">
        <v>349</v>
      </c>
      <c r="B36" s="9">
        <v>1</v>
      </c>
      <c r="C36" s="9">
        <v>63</v>
      </c>
      <c r="D36" s="10">
        <v>0</v>
      </c>
      <c r="E36" s="10">
        <v>0.55763888888888891</v>
      </c>
    </row>
    <row r="37" spans="1:5" s="7" customFormat="1" ht="19.5" customHeight="1" x14ac:dyDescent="0.3">
      <c r="A37" s="108" t="s">
        <v>355</v>
      </c>
      <c r="B37" s="9">
        <v>1</v>
      </c>
      <c r="C37" s="9">
        <v>63</v>
      </c>
      <c r="D37" s="10">
        <v>0</v>
      </c>
      <c r="E37" s="10">
        <v>0.47083333333333338</v>
      </c>
    </row>
    <row r="38" spans="1:5" s="7" customFormat="1" ht="19.5" customHeight="1" x14ac:dyDescent="0.3">
      <c r="A38" s="108" t="s">
        <v>514</v>
      </c>
      <c r="B38" s="9">
        <v>2</v>
      </c>
      <c r="C38" s="9">
        <v>62</v>
      </c>
      <c r="D38" s="10">
        <v>1.4583333333333332E-2</v>
      </c>
      <c r="E38" s="10">
        <v>0.90138888888888891</v>
      </c>
    </row>
    <row r="39" spans="1:5" s="7" customFormat="1" ht="19.5" customHeight="1" x14ac:dyDescent="0.3">
      <c r="A39" s="108" t="s">
        <v>360</v>
      </c>
      <c r="B39" s="9">
        <v>1</v>
      </c>
      <c r="C39" s="9">
        <v>61</v>
      </c>
      <c r="D39" s="10">
        <v>0</v>
      </c>
      <c r="E39" s="10">
        <v>0.37638888888888888</v>
      </c>
    </row>
    <row r="40" spans="1:5" s="7" customFormat="1" ht="19.5" customHeight="1" x14ac:dyDescent="0.3">
      <c r="A40" s="108" t="s">
        <v>353</v>
      </c>
      <c r="B40" s="9">
        <v>1</v>
      </c>
      <c r="C40" s="9">
        <v>60</v>
      </c>
      <c r="D40" s="10">
        <v>0.39305555555555555</v>
      </c>
      <c r="E40" s="10">
        <v>0.6166666666666667</v>
      </c>
    </row>
    <row r="41" spans="1:5" s="7" customFormat="1" ht="19.5" customHeight="1" x14ac:dyDescent="0.3">
      <c r="A41" s="108" t="s">
        <v>218</v>
      </c>
      <c r="B41" s="9">
        <v>542</v>
      </c>
      <c r="C41" s="9">
        <v>59</v>
      </c>
      <c r="D41" s="10">
        <v>6.1111111111111116E-2</v>
      </c>
      <c r="E41" s="10">
        <v>0.45902777777777781</v>
      </c>
    </row>
    <row r="42" spans="1:5" s="7" customFormat="1" ht="19.5" customHeight="1" x14ac:dyDescent="0.3">
      <c r="A42" s="108" t="s">
        <v>321</v>
      </c>
      <c r="B42" s="9">
        <v>3</v>
      </c>
      <c r="C42" s="9">
        <v>59</v>
      </c>
      <c r="D42" s="10">
        <v>0.14722222222222223</v>
      </c>
      <c r="E42" s="10">
        <v>0.59791666666666665</v>
      </c>
    </row>
    <row r="43" spans="1:5" s="7" customFormat="1" ht="19.5" customHeight="1" x14ac:dyDescent="0.3">
      <c r="A43" s="108" t="s">
        <v>433</v>
      </c>
      <c r="B43" s="9">
        <v>3</v>
      </c>
      <c r="C43" s="9">
        <v>58</v>
      </c>
      <c r="D43" s="10">
        <v>0.25694444444444448</v>
      </c>
      <c r="E43" s="10">
        <v>0.90694444444444444</v>
      </c>
    </row>
    <row r="44" spans="1:5" s="7" customFormat="1" ht="19.5" customHeight="1" x14ac:dyDescent="0.3">
      <c r="A44" s="108" t="s">
        <v>104</v>
      </c>
      <c r="B44" s="9">
        <v>38</v>
      </c>
      <c r="C44" s="9">
        <v>57</v>
      </c>
      <c r="D44" s="10">
        <v>3.125E-2</v>
      </c>
      <c r="E44" s="10">
        <v>0.60763888888888895</v>
      </c>
    </row>
    <row r="45" spans="1:5" s="7" customFormat="1" ht="19.5" customHeight="1" x14ac:dyDescent="0.3">
      <c r="A45" s="108" t="s">
        <v>453</v>
      </c>
      <c r="B45" s="9">
        <v>18</v>
      </c>
      <c r="C45" s="9">
        <v>57</v>
      </c>
      <c r="D45" s="10">
        <v>1.3888888888888888E-2</v>
      </c>
      <c r="E45" s="10">
        <v>0.49374999999999997</v>
      </c>
    </row>
    <row r="46" spans="1:5" s="7" customFormat="1" ht="19.5" customHeight="1" x14ac:dyDescent="0.3">
      <c r="A46" s="108" t="s">
        <v>333</v>
      </c>
      <c r="B46" s="9">
        <v>1</v>
      </c>
      <c r="C46" s="9">
        <v>57</v>
      </c>
      <c r="D46" s="10">
        <v>4.1666666666666666E-3</v>
      </c>
      <c r="E46" s="10">
        <v>0.57500000000000007</v>
      </c>
    </row>
    <row r="47" spans="1:5" s="7" customFormat="1" ht="19.5" customHeight="1" x14ac:dyDescent="0.3">
      <c r="A47" s="108" t="s">
        <v>335</v>
      </c>
      <c r="B47" s="9">
        <v>1</v>
      </c>
      <c r="C47" s="9">
        <v>57</v>
      </c>
      <c r="D47" s="10">
        <v>6.9444444444444447E-4</v>
      </c>
      <c r="E47" s="10">
        <v>0.31458333333333333</v>
      </c>
    </row>
    <row r="48" spans="1:5" s="7" customFormat="1" ht="19.5" customHeight="1" x14ac:dyDescent="0.3">
      <c r="A48" s="108" t="s">
        <v>467</v>
      </c>
      <c r="B48" s="9">
        <v>1</v>
      </c>
      <c r="C48" s="9">
        <v>55</v>
      </c>
      <c r="D48" s="10">
        <v>9.0277777777777776E-2</v>
      </c>
      <c r="E48" s="10">
        <v>0.71250000000000002</v>
      </c>
    </row>
    <row r="49" spans="1:5" s="7" customFormat="1" ht="19.5" customHeight="1" x14ac:dyDescent="0.3">
      <c r="A49" s="108" t="s">
        <v>477</v>
      </c>
      <c r="B49" s="9">
        <v>3</v>
      </c>
      <c r="C49" s="9">
        <v>54</v>
      </c>
      <c r="D49" s="10">
        <v>9.7222222222222224E-2</v>
      </c>
      <c r="E49" s="10">
        <v>0.63611111111111118</v>
      </c>
    </row>
    <row r="50" spans="1:5" s="7" customFormat="1" ht="19.5" customHeight="1" x14ac:dyDescent="0.3">
      <c r="A50" s="108" t="s">
        <v>436</v>
      </c>
      <c r="B50" s="9">
        <v>2</v>
      </c>
      <c r="C50" s="9">
        <v>54</v>
      </c>
      <c r="D50" s="10">
        <v>3.472222222222222E-3</v>
      </c>
      <c r="E50" s="10">
        <v>0.56805555555555554</v>
      </c>
    </row>
    <row r="51" spans="1:5" s="7" customFormat="1" ht="19.5" customHeight="1" x14ac:dyDescent="0.3">
      <c r="A51" s="108" t="s">
        <v>361</v>
      </c>
      <c r="B51" s="9">
        <v>1</v>
      </c>
      <c r="C51" s="9">
        <v>53</v>
      </c>
      <c r="D51" s="10">
        <v>3.125E-2</v>
      </c>
      <c r="E51" s="10">
        <v>0.41319444444444442</v>
      </c>
    </row>
    <row r="52" spans="1:5" s="7" customFormat="1" ht="19.5" customHeight="1" x14ac:dyDescent="0.3">
      <c r="A52" s="108" t="s">
        <v>40</v>
      </c>
      <c r="B52" s="9">
        <v>173</v>
      </c>
      <c r="C52" s="9">
        <v>51</v>
      </c>
      <c r="D52" s="10">
        <v>5.0694444444444452E-2</v>
      </c>
      <c r="E52" s="10">
        <v>0.52777777777777779</v>
      </c>
    </row>
    <row r="53" spans="1:5" s="7" customFormat="1" ht="19.5" customHeight="1" x14ac:dyDescent="0.3">
      <c r="A53" s="108" t="s">
        <v>55</v>
      </c>
      <c r="B53" s="9">
        <v>37</v>
      </c>
      <c r="C53" s="9">
        <v>51</v>
      </c>
      <c r="D53" s="10">
        <v>1.2499999999999999E-2</v>
      </c>
      <c r="E53" s="10">
        <v>0.50208333333333333</v>
      </c>
    </row>
    <row r="54" spans="1:5" s="7" customFormat="1" ht="19.5" customHeight="1" x14ac:dyDescent="0.3">
      <c r="A54" s="108" t="s">
        <v>397</v>
      </c>
      <c r="B54" s="9">
        <v>19</v>
      </c>
      <c r="C54" s="9">
        <v>51</v>
      </c>
      <c r="D54" s="10">
        <v>1.8749999999999999E-2</v>
      </c>
      <c r="E54" s="10">
        <v>0.82152777777777775</v>
      </c>
    </row>
    <row r="55" spans="1:5" s="7" customFormat="1" ht="19.5" customHeight="1" x14ac:dyDescent="0.3">
      <c r="A55" s="108" t="s">
        <v>51</v>
      </c>
      <c r="B55" s="9">
        <v>6</v>
      </c>
      <c r="C55" s="9">
        <v>50</v>
      </c>
      <c r="D55" s="10">
        <v>2.013888888888889E-2</v>
      </c>
      <c r="E55" s="10">
        <v>0.5180555555555556</v>
      </c>
    </row>
    <row r="56" spans="1:5" s="7" customFormat="1" ht="19.5" customHeight="1" x14ac:dyDescent="0.3">
      <c r="A56" s="108" t="s">
        <v>318</v>
      </c>
      <c r="B56" s="9">
        <v>4</v>
      </c>
      <c r="C56" s="9">
        <v>50</v>
      </c>
      <c r="D56" s="10">
        <v>4.1666666666666666E-3</v>
      </c>
      <c r="E56" s="10">
        <v>0.37638888888888888</v>
      </c>
    </row>
    <row r="57" spans="1:5" s="7" customFormat="1" ht="19.5" customHeight="1" x14ac:dyDescent="0.3">
      <c r="A57" s="108" t="s">
        <v>462</v>
      </c>
      <c r="B57" s="9">
        <v>5</v>
      </c>
      <c r="C57" s="9">
        <v>49</v>
      </c>
      <c r="D57" s="10">
        <v>6.5277777777777782E-2</v>
      </c>
      <c r="E57" s="10">
        <v>0.42083333333333334</v>
      </c>
    </row>
    <row r="58" spans="1:5" s="7" customFormat="1" ht="19.5" customHeight="1" x14ac:dyDescent="0.3">
      <c r="A58" s="108" t="s">
        <v>29</v>
      </c>
      <c r="B58" s="9">
        <v>4</v>
      </c>
      <c r="C58" s="9">
        <v>49</v>
      </c>
      <c r="D58" s="10">
        <v>2.7083333333333334E-2</v>
      </c>
      <c r="E58" s="10">
        <v>0.39097222222222222</v>
      </c>
    </row>
    <row r="59" spans="1:5" s="7" customFormat="1" ht="19.5" customHeight="1" x14ac:dyDescent="0.3">
      <c r="A59" s="108" t="s">
        <v>67</v>
      </c>
      <c r="B59" s="9">
        <v>3830</v>
      </c>
      <c r="C59" s="9">
        <v>48</v>
      </c>
      <c r="D59" s="10">
        <v>5.9027777777777783E-2</v>
      </c>
      <c r="E59" s="10">
        <v>0.29236111111111113</v>
      </c>
    </row>
    <row r="60" spans="1:5" s="7" customFormat="1" ht="19.5" customHeight="1" x14ac:dyDescent="0.3">
      <c r="A60" s="108" t="s">
        <v>84</v>
      </c>
      <c r="B60" s="9">
        <v>12</v>
      </c>
      <c r="C60" s="9">
        <v>46</v>
      </c>
      <c r="D60" s="10">
        <v>4.4444444444444446E-2</v>
      </c>
      <c r="E60" s="10">
        <v>0.56458333333333333</v>
      </c>
    </row>
    <row r="61" spans="1:5" s="7" customFormat="1" ht="16.5" x14ac:dyDescent="0.3">
      <c r="A61" s="108" t="s">
        <v>357</v>
      </c>
      <c r="B61" s="9">
        <v>1</v>
      </c>
      <c r="C61" s="9">
        <v>46</v>
      </c>
      <c r="D61" s="10">
        <v>0.28958333333333336</v>
      </c>
      <c r="E61" s="10">
        <v>0.70763888888888893</v>
      </c>
    </row>
    <row r="62" spans="1:5" s="7" customFormat="1" ht="19.5" customHeight="1" x14ac:dyDescent="0.3">
      <c r="A62" s="108" t="s">
        <v>382</v>
      </c>
      <c r="B62" s="9">
        <v>1</v>
      </c>
      <c r="C62" s="9">
        <v>46</v>
      </c>
      <c r="D62" s="10">
        <v>0</v>
      </c>
      <c r="E62" s="10">
        <v>0.40972222222222227</v>
      </c>
    </row>
    <row r="63" spans="1:5" s="7" customFormat="1" ht="19.5" customHeight="1" x14ac:dyDescent="0.3">
      <c r="A63" s="108" t="s">
        <v>53</v>
      </c>
      <c r="B63" s="9">
        <v>12</v>
      </c>
      <c r="C63" s="9">
        <v>45</v>
      </c>
      <c r="D63" s="10">
        <v>3.1944444444444449E-2</v>
      </c>
      <c r="E63" s="10">
        <v>0.49861111111111112</v>
      </c>
    </row>
    <row r="64" spans="1:5" s="7" customFormat="1" ht="19.5" customHeight="1" x14ac:dyDescent="0.3">
      <c r="A64" s="108" t="s">
        <v>532</v>
      </c>
      <c r="B64" s="9">
        <v>9</v>
      </c>
      <c r="C64" s="9">
        <v>45</v>
      </c>
      <c r="D64" s="10">
        <v>8.6111111111111124E-2</v>
      </c>
      <c r="E64" s="10">
        <v>0.46388888888888885</v>
      </c>
    </row>
    <row r="65" spans="1:5" s="7" customFormat="1" ht="19.5" customHeight="1" x14ac:dyDescent="0.3">
      <c r="A65" s="108" t="s">
        <v>528</v>
      </c>
      <c r="B65" s="9">
        <v>2</v>
      </c>
      <c r="C65" s="9">
        <v>45</v>
      </c>
      <c r="D65" s="10">
        <v>7.9166666666666663E-2</v>
      </c>
      <c r="E65" s="10">
        <v>0.40416666666666662</v>
      </c>
    </row>
    <row r="66" spans="1:5" s="7" customFormat="1" ht="32.25" x14ac:dyDescent="0.3">
      <c r="A66" s="108" t="s">
        <v>402</v>
      </c>
      <c r="B66" s="9">
        <v>1</v>
      </c>
      <c r="C66" s="9">
        <v>45</v>
      </c>
      <c r="D66" s="10">
        <v>8.4027777777777771E-2</v>
      </c>
      <c r="E66" s="10">
        <v>0.82291666666666663</v>
      </c>
    </row>
    <row r="67" spans="1:5" s="7" customFormat="1" ht="19.5" customHeight="1" x14ac:dyDescent="0.3">
      <c r="A67" s="108" t="s">
        <v>165</v>
      </c>
      <c r="B67" s="9">
        <v>35</v>
      </c>
      <c r="C67" s="9">
        <v>44</v>
      </c>
      <c r="D67" s="10">
        <v>6.6666666666666666E-2</v>
      </c>
      <c r="E67" s="10">
        <v>0.36249999999999999</v>
      </c>
    </row>
    <row r="68" spans="1:5" s="7" customFormat="1" ht="19.5" customHeight="1" x14ac:dyDescent="0.3">
      <c r="A68" s="108" t="s">
        <v>80</v>
      </c>
      <c r="B68" s="9">
        <v>24</v>
      </c>
      <c r="C68" s="9">
        <v>44</v>
      </c>
      <c r="D68" s="10">
        <v>3.5416666666666666E-2</v>
      </c>
      <c r="E68" s="10">
        <v>0.4861111111111111</v>
      </c>
    </row>
    <row r="69" spans="1:5" s="7" customFormat="1" ht="19.5" customHeight="1" x14ac:dyDescent="0.3">
      <c r="A69" s="108" t="s">
        <v>356</v>
      </c>
      <c r="B69" s="9">
        <v>1</v>
      </c>
      <c r="C69" s="9">
        <v>44</v>
      </c>
      <c r="D69" s="10">
        <v>3.1944444444444449E-2</v>
      </c>
      <c r="E69" s="10">
        <v>0.98888888888888893</v>
      </c>
    </row>
    <row r="70" spans="1:5" s="7" customFormat="1" ht="19.5" customHeight="1" x14ac:dyDescent="0.3">
      <c r="A70" s="108" t="s">
        <v>96</v>
      </c>
      <c r="B70" s="9">
        <v>14</v>
      </c>
      <c r="C70" s="9">
        <v>43</v>
      </c>
      <c r="D70" s="10">
        <v>6.3888888888888884E-2</v>
      </c>
      <c r="E70" s="10">
        <v>0.55763888888888891</v>
      </c>
    </row>
    <row r="71" spans="1:5" s="7" customFormat="1" ht="19.5" customHeight="1" x14ac:dyDescent="0.3">
      <c r="A71" s="108" t="s">
        <v>497</v>
      </c>
      <c r="B71" s="9">
        <v>9</v>
      </c>
      <c r="C71" s="9">
        <v>43</v>
      </c>
      <c r="D71" s="10">
        <v>1.3888888888888888E-2</v>
      </c>
      <c r="E71" s="10">
        <v>0.6333333333333333</v>
      </c>
    </row>
    <row r="72" spans="1:5" s="7" customFormat="1" ht="19.5" customHeight="1" x14ac:dyDescent="0.3">
      <c r="A72" s="108" t="s">
        <v>317</v>
      </c>
      <c r="B72" s="9">
        <v>6</v>
      </c>
      <c r="C72" s="9">
        <v>43</v>
      </c>
      <c r="D72" s="10">
        <v>0.15972222222222224</v>
      </c>
      <c r="E72" s="10">
        <v>0.76458333333333339</v>
      </c>
    </row>
    <row r="73" spans="1:5" s="7" customFormat="1" ht="19.5" customHeight="1" x14ac:dyDescent="0.3">
      <c r="A73" s="108" t="s">
        <v>435</v>
      </c>
      <c r="B73" s="9">
        <v>3</v>
      </c>
      <c r="C73" s="9">
        <v>43</v>
      </c>
      <c r="D73" s="10">
        <v>2.6388888888888889E-2</v>
      </c>
      <c r="E73" s="10">
        <v>0.44236111111111115</v>
      </c>
    </row>
    <row r="74" spans="1:5" s="7" customFormat="1" ht="19.5" customHeight="1" x14ac:dyDescent="0.3">
      <c r="A74" s="108" t="s">
        <v>31</v>
      </c>
      <c r="B74" s="9">
        <v>10</v>
      </c>
      <c r="C74" s="9">
        <v>42</v>
      </c>
      <c r="D74" s="10">
        <v>1.7361111111111112E-2</v>
      </c>
      <c r="E74" s="10">
        <v>0.23611111111111113</v>
      </c>
    </row>
    <row r="75" spans="1:5" s="7" customFormat="1" ht="19.5" customHeight="1" x14ac:dyDescent="0.3">
      <c r="A75" s="108" t="s">
        <v>352</v>
      </c>
      <c r="B75" s="9">
        <v>1</v>
      </c>
      <c r="C75" s="9">
        <v>42</v>
      </c>
      <c r="D75" s="10">
        <v>9.6527777777777768E-2</v>
      </c>
      <c r="E75" s="10">
        <v>0.63194444444444442</v>
      </c>
    </row>
    <row r="76" spans="1:5" s="7" customFormat="1" ht="19.5" customHeight="1" x14ac:dyDescent="0.3">
      <c r="A76" s="108" t="s">
        <v>359</v>
      </c>
      <c r="B76" s="9">
        <v>1</v>
      </c>
      <c r="C76" s="9">
        <v>42</v>
      </c>
      <c r="D76" s="10">
        <v>0.26666666666666666</v>
      </c>
      <c r="E76" s="10">
        <v>0.5541666666666667</v>
      </c>
    </row>
    <row r="77" spans="1:5" s="7" customFormat="1" ht="19.5" customHeight="1" x14ac:dyDescent="0.3">
      <c r="A77" s="108" t="s">
        <v>511</v>
      </c>
      <c r="B77" s="9">
        <v>40</v>
      </c>
      <c r="C77" s="9">
        <v>41</v>
      </c>
      <c r="D77" s="10">
        <v>6.1805555555555558E-2</v>
      </c>
      <c r="E77" s="10">
        <v>0.44791666666666669</v>
      </c>
    </row>
    <row r="78" spans="1:5" s="7" customFormat="1" ht="19.5" customHeight="1" x14ac:dyDescent="0.3">
      <c r="A78" s="108" t="s">
        <v>527</v>
      </c>
      <c r="B78" s="9">
        <v>13</v>
      </c>
      <c r="C78" s="9">
        <v>41</v>
      </c>
      <c r="D78" s="10">
        <v>2.2222222222222223E-2</v>
      </c>
      <c r="E78" s="10">
        <v>0.56458333333333333</v>
      </c>
    </row>
    <row r="79" spans="1:5" s="7" customFormat="1" ht="19.5" customHeight="1" x14ac:dyDescent="0.3">
      <c r="A79" s="108" t="s">
        <v>94</v>
      </c>
      <c r="B79" s="9">
        <v>11</v>
      </c>
      <c r="C79" s="9">
        <v>41</v>
      </c>
      <c r="D79" s="10">
        <v>2.9861111111111113E-2</v>
      </c>
      <c r="E79" s="10">
        <v>0.61597222222222225</v>
      </c>
    </row>
    <row r="80" spans="1:5" s="7" customFormat="1" ht="19.5" customHeight="1" x14ac:dyDescent="0.3">
      <c r="A80" s="108" t="s">
        <v>469</v>
      </c>
      <c r="B80" s="9">
        <v>5</v>
      </c>
      <c r="C80" s="9">
        <v>41</v>
      </c>
      <c r="D80" s="10">
        <v>6.3888888888888884E-2</v>
      </c>
      <c r="E80" s="10">
        <v>0.54027777777777775</v>
      </c>
    </row>
    <row r="81" spans="1:5" s="7" customFormat="1" ht="19.5" customHeight="1" x14ac:dyDescent="0.3">
      <c r="A81" s="108" t="s">
        <v>348</v>
      </c>
      <c r="B81" s="9">
        <v>1</v>
      </c>
      <c r="C81" s="9">
        <v>41</v>
      </c>
      <c r="D81" s="10">
        <v>6.9444444444444441E-3</v>
      </c>
      <c r="E81" s="10">
        <v>0.78541666666666676</v>
      </c>
    </row>
    <row r="82" spans="1:5" s="7" customFormat="1" ht="19.5" customHeight="1" x14ac:dyDescent="0.3">
      <c r="A82" s="108" t="s">
        <v>319</v>
      </c>
      <c r="B82" s="9">
        <v>16</v>
      </c>
      <c r="C82" s="9">
        <v>40</v>
      </c>
      <c r="D82" s="10">
        <v>2.7777777777777776E-2</v>
      </c>
      <c r="E82" s="10">
        <v>0.65069444444444446</v>
      </c>
    </row>
    <row r="83" spans="1:5" s="7" customFormat="1" ht="19.5" customHeight="1" x14ac:dyDescent="0.3">
      <c r="A83" s="108" t="s">
        <v>491</v>
      </c>
      <c r="B83" s="9">
        <v>13</v>
      </c>
      <c r="C83" s="9">
        <v>40</v>
      </c>
      <c r="D83" s="10">
        <v>9.8611111111111108E-2</v>
      </c>
      <c r="E83" s="10">
        <v>0.4826388888888889</v>
      </c>
    </row>
    <row r="84" spans="1:5" s="7" customFormat="1" ht="19.5" customHeight="1" x14ac:dyDescent="0.3">
      <c r="A84" s="108" t="s">
        <v>363</v>
      </c>
      <c r="B84" s="9">
        <v>1</v>
      </c>
      <c r="C84" s="9">
        <v>40</v>
      </c>
      <c r="D84" s="10">
        <v>1.3888888888888889E-3</v>
      </c>
      <c r="E84" s="10">
        <v>0.43472222222222223</v>
      </c>
    </row>
    <row r="85" spans="1:5" s="7" customFormat="1" ht="19.5" customHeight="1" x14ac:dyDescent="0.3">
      <c r="A85" s="108" t="s">
        <v>504</v>
      </c>
      <c r="B85" s="9">
        <v>11</v>
      </c>
      <c r="C85" s="9">
        <v>39</v>
      </c>
      <c r="D85" s="10">
        <v>2.013888888888889E-2</v>
      </c>
      <c r="E85" s="10">
        <v>0.4680555555555555</v>
      </c>
    </row>
    <row r="86" spans="1:5" s="7" customFormat="1" ht="19.5" customHeight="1" x14ac:dyDescent="0.3">
      <c r="A86" s="108" t="s">
        <v>490</v>
      </c>
      <c r="B86" s="9">
        <v>2</v>
      </c>
      <c r="C86" s="9">
        <v>39</v>
      </c>
      <c r="D86" s="10">
        <v>0.16041666666666668</v>
      </c>
      <c r="E86" s="10">
        <v>0.5083333333333333</v>
      </c>
    </row>
    <row r="87" spans="1:5" s="7" customFormat="1" ht="19.5" customHeight="1" x14ac:dyDescent="0.3">
      <c r="A87" s="108" t="s">
        <v>364</v>
      </c>
      <c r="B87" s="9">
        <v>1</v>
      </c>
      <c r="C87" s="9">
        <v>39</v>
      </c>
      <c r="D87" s="10">
        <v>3.2638888888888891E-2</v>
      </c>
      <c r="E87" s="10">
        <v>0.31736111111111115</v>
      </c>
    </row>
    <row r="88" spans="1:5" s="7" customFormat="1" ht="19.5" customHeight="1" x14ac:dyDescent="0.3">
      <c r="A88" s="108" t="s">
        <v>45</v>
      </c>
      <c r="B88" s="9">
        <v>25</v>
      </c>
      <c r="C88" s="9">
        <v>38</v>
      </c>
      <c r="D88" s="10">
        <v>4.1666666666666664E-2</v>
      </c>
      <c r="E88" s="10">
        <v>0.54375000000000007</v>
      </c>
    </row>
    <row r="89" spans="1:5" s="7" customFormat="1" ht="19.5" customHeight="1" x14ac:dyDescent="0.3">
      <c r="A89" s="108" t="s">
        <v>387</v>
      </c>
      <c r="B89" s="9">
        <v>6</v>
      </c>
      <c r="C89" s="9">
        <v>38</v>
      </c>
      <c r="D89" s="10">
        <v>6.3194444444444442E-2</v>
      </c>
      <c r="E89" s="10">
        <v>0.65069444444444446</v>
      </c>
    </row>
    <row r="90" spans="1:5" s="7" customFormat="1" ht="19.5" customHeight="1" x14ac:dyDescent="0.3">
      <c r="A90" s="108" t="s">
        <v>346</v>
      </c>
      <c r="B90" s="9">
        <v>1</v>
      </c>
      <c r="C90" s="9">
        <v>38</v>
      </c>
      <c r="D90" s="10">
        <v>0</v>
      </c>
      <c r="E90" s="10">
        <v>0.59375</v>
      </c>
    </row>
    <row r="91" spans="1:5" s="7" customFormat="1" ht="19.5" customHeight="1" x14ac:dyDescent="0.3">
      <c r="A91" s="108" t="s">
        <v>376</v>
      </c>
      <c r="B91" s="9">
        <v>1</v>
      </c>
      <c r="C91" s="9">
        <v>38</v>
      </c>
      <c r="D91" s="10">
        <v>0.12986111111111112</v>
      </c>
      <c r="E91" s="10">
        <v>0.59236111111111112</v>
      </c>
    </row>
    <row r="92" spans="1:5" s="7" customFormat="1" ht="32.25" x14ac:dyDescent="0.3">
      <c r="A92" s="108" t="s">
        <v>411</v>
      </c>
      <c r="B92" s="9">
        <v>1</v>
      </c>
      <c r="C92" s="9">
        <v>38</v>
      </c>
      <c r="D92" s="10">
        <v>1.3888888888888889E-3</v>
      </c>
      <c r="E92" s="10">
        <v>0.4201388888888889</v>
      </c>
    </row>
    <row r="93" spans="1:5" s="7" customFormat="1" ht="19.5" customHeight="1" x14ac:dyDescent="0.3">
      <c r="A93" s="108" t="s">
        <v>389</v>
      </c>
      <c r="B93" s="9">
        <v>5</v>
      </c>
      <c r="C93" s="9">
        <v>37</v>
      </c>
      <c r="D93" s="10">
        <v>3.888888888888889E-2</v>
      </c>
      <c r="E93" s="10">
        <v>0.45069444444444445</v>
      </c>
    </row>
    <row r="94" spans="1:5" s="7" customFormat="1" ht="19.5" customHeight="1" x14ac:dyDescent="0.3">
      <c r="A94" s="108" t="s">
        <v>54</v>
      </c>
      <c r="B94" s="9">
        <v>20</v>
      </c>
      <c r="C94" s="9">
        <v>36</v>
      </c>
      <c r="D94" s="10">
        <v>3.4027777777777775E-2</v>
      </c>
      <c r="E94" s="10">
        <v>0.64722222222222225</v>
      </c>
    </row>
    <row r="95" spans="1:5" s="7" customFormat="1" ht="19.5" customHeight="1" x14ac:dyDescent="0.3">
      <c r="A95" s="108" t="s">
        <v>494</v>
      </c>
      <c r="B95" s="9">
        <v>8</v>
      </c>
      <c r="C95" s="9">
        <v>36</v>
      </c>
      <c r="D95" s="10">
        <v>4.9305555555555554E-2</v>
      </c>
      <c r="E95" s="10">
        <v>0.48472222222222222</v>
      </c>
    </row>
    <row r="96" spans="1:5" s="7" customFormat="1" ht="19.5" customHeight="1" x14ac:dyDescent="0.3">
      <c r="A96" s="108" t="s">
        <v>430</v>
      </c>
      <c r="B96" s="9">
        <v>4</v>
      </c>
      <c r="C96" s="9">
        <v>36</v>
      </c>
      <c r="D96" s="10">
        <v>4.9305555555555554E-2</v>
      </c>
      <c r="E96" s="10">
        <v>0.65486111111111112</v>
      </c>
    </row>
    <row r="97" spans="1:5" s="7" customFormat="1" ht="19.5" customHeight="1" x14ac:dyDescent="0.3">
      <c r="A97" s="108" t="s">
        <v>537</v>
      </c>
      <c r="B97" s="9">
        <v>4</v>
      </c>
      <c r="C97" s="9">
        <v>36</v>
      </c>
      <c r="D97" s="10">
        <v>4.8611111111111112E-3</v>
      </c>
      <c r="E97" s="10">
        <v>0.47430555555555554</v>
      </c>
    </row>
    <row r="98" spans="1:5" s="7" customFormat="1" ht="19.5" customHeight="1" x14ac:dyDescent="0.3">
      <c r="A98" s="108" t="s">
        <v>398</v>
      </c>
      <c r="B98" s="9">
        <v>1</v>
      </c>
      <c r="C98" s="9">
        <v>36</v>
      </c>
      <c r="D98" s="10">
        <v>0</v>
      </c>
      <c r="E98" s="10">
        <v>0.44444444444444442</v>
      </c>
    </row>
    <row r="99" spans="1:5" s="7" customFormat="1" ht="19.5" customHeight="1" x14ac:dyDescent="0.3">
      <c r="A99" s="108" t="s">
        <v>49</v>
      </c>
      <c r="B99" s="9">
        <v>27</v>
      </c>
      <c r="C99" s="9">
        <v>35</v>
      </c>
      <c r="D99" s="10">
        <v>5.347222222222222E-2</v>
      </c>
      <c r="E99" s="10">
        <v>0.5180555555555556</v>
      </c>
    </row>
    <row r="100" spans="1:5" s="7" customFormat="1" ht="19.5" customHeight="1" x14ac:dyDescent="0.3">
      <c r="A100" s="108" t="s">
        <v>513</v>
      </c>
      <c r="B100" s="9">
        <v>17</v>
      </c>
      <c r="C100" s="9">
        <v>35</v>
      </c>
      <c r="D100" s="10">
        <v>1.3194444444444444E-2</v>
      </c>
      <c r="E100" s="10">
        <v>0.56180555555555556</v>
      </c>
    </row>
    <row r="101" spans="1:5" s="7" customFormat="1" ht="19.5" customHeight="1" x14ac:dyDescent="0.3">
      <c r="A101" s="108" t="s">
        <v>474</v>
      </c>
      <c r="B101" s="9">
        <v>5</v>
      </c>
      <c r="C101" s="9">
        <v>35</v>
      </c>
      <c r="D101" s="10">
        <v>1.3888888888888888E-2</v>
      </c>
      <c r="E101" s="10">
        <v>0.59305555555555556</v>
      </c>
    </row>
    <row r="102" spans="1:5" s="7" customFormat="1" ht="19.5" customHeight="1" x14ac:dyDescent="0.3">
      <c r="A102" s="108" t="s">
        <v>461</v>
      </c>
      <c r="B102" s="9">
        <v>3</v>
      </c>
      <c r="C102" s="9">
        <v>35</v>
      </c>
      <c r="D102" s="10">
        <v>2.013888888888889E-2</v>
      </c>
      <c r="E102" s="10">
        <v>0.50694444444444442</v>
      </c>
    </row>
    <row r="103" spans="1:5" s="7" customFormat="1" ht="19.5" customHeight="1" x14ac:dyDescent="0.3">
      <c r="A103" s="108" t="s">
        <v>379</v>
      </c>
      <c r="B103" s="9">
        <v>1</v>
      </c>
      <c r="C103" s="9">
        <v>35</v>
      </c>
      <c r="D103" s="10">
        <v>0</v>
      </c>
      <c r="E103" s="10">
        <v>0.73819444444444438</v>
      </c>
    </row>
    <row r="104" spans="1:5" s="7" customFormat="1" ht="19.5" customHeight="1" x14ac:dyDescent="0.3">
      <c r="A104" s="108" t="s">
        <v>501</v>
      </c>
      <c r="B104" s="9">
        <v>19</v>
      </c>
      <c r="C104" s="9">
        <v>34</v>
      </c>
      <c r="D104" s="10">
        <v>1.8055555555555557E-2</v>
      </c>
      <c r="E104" s="10">
        <v>0.50277777777777777</v>
      </c>
    </row>
    <row r="105" spans="1:5" s="7" customFormat="1" ht="19.5" customHeight="1" x14ac:dyDescent="0.3">
      <c r="A105" s="108" t="s">
        <v>331</v>
      </c>
      <c r="B105" s="9">
        <v>13</v>
      </c>
      <c r="C105" s="9">
        <v>34</v>
      </c>
      <c r="D105" s="10">
        <v>3.2638888888888891E-2</v>
      </c>
      <c r="E105" s="10">
        <v>0.65347222222222223</v>
      </c>
    </row>
    <row r="106" spans="1:5" s="7" customFormat="1" ht="19.5" customHeight="1" x14ac:dyDescent="0.3">
      <c r="A106" s="108" t="s">
        <v>483</v>
      </c>
      <c r="B106" s="9">
        <v>5</v>
      </c>
      <c r="C106" s="9">
        <v>34</v>
      </c>
      <c r="D106" s="10">
        <v>5.2777777777777778E-2</v>
      </c>
      <c r="E106" s="10">
        <v>0.4375</v>
      </c>
    </row>
    <row r="107" spans="1:5" s="7" customFormat="1" ht="19.5" customHeight="1" x14ac:dyDescent="0.3">
      <c r="A107" s="108" t="s">
        <v>465</v>
      </c>
      <c r="B107" s="9">
        <v>3</v>
      </c>
      <c r="C107" s="9">
        <v>34</v>
      </c>
      <c r="D107" s="10">
        <v>3.472222222222222E-3</v>
      </c>
      <c r="E107" s="10">
        <v>0.43472222222222223</v>
      </c>
    </row>
    <row r="108" spans="1:5" s="7" customFormat="1" ht="19.5" customHeight="1" x14ac:dyDescent="0.3">
      <c r="A108" s="108" t="s">
        <v>471</v>
      </c>
      <c r="B108" s="9">
        <v>3</v>
      </c>
      <c r="C108" s="9">
        <v>34</v>
      </c>
      <c r="D108" s="10">
        <v>0.10416666666666667</v>
      </c>
      <c r="E108" s="10">
        <v>0.55208333333333337</v>
      </c>
    </row>
    <row r="109" spans="1:5" s="7" customFormat="1" ht="19.5" customHeight="1" x14ac:dyDescent="0.3">
      <c r="A109" s="108" t="s">
        <v>383</v>
      </c>
      <c r="B109" s="9">
        <v>1</v>
      </c>
      <c r="C109" s="9">
        <v>34</v>
      </c>
      <c r="D109" s="10">
        <v>0.13958333333333334</v>
      </c>
      <c r="E109" s="10">
        <v>0.75416666666666676</v>
      </c>
    </row>
    <row r="110" spans="1:5" s="7" customFormat="1" ht="19.5" customHeight="1" x14ac:dyDescent="0.3">
      <c r="A110" s="108" t="s">
        <v>408</v>
      </c>
      <c r="B110" s="9">
        <v>1</v>
      </c>
      <c r="C110" s="9">
        <v>33</v>
      </c>
      <c r="D110" s="10">
        <v>9.7222222222222224E-3</v>
      </c>
      <c r="E110" s="10">
        <v>0.90138888888888891</v>
      </c>
    </row>
    <row r="111" spans="1:5" s="7" customFormat="1" ht="19.5" customHeight="1" x14ac:dyDescent="0.3">
      <c r="A111" s="108" t="s">
        <v>432</v>
      </c>
      <c r="B111" s="9">
        <v>1</v>
      </c>
      <c r="C111" s="9">
        <v>33</v>
      </c>
      <c r="D111" s="10">
        <v>1.4583333333333332E-2</v>
      </c>
      <c r="E111" s="10">
        <v>0.50902777777777775</v>
      </c>
    </row>
    <row r="112" spans="1:5" s="7" customFormat="1" ht="19.5" customHeight="1" x14ac:dyDescent="0.3">
      <c r="A112" s="108" t="s">
        <v>455</v>
      </c>
      <c r="B112" s="9">
        <v>4</v>
      </c>
      <c r="C112" s="9">
        <v>32</v>
      </c>
      <c r="D112" s="10">
        <v>4.9305555555555554E-2</v>
      </c>
      <c r="E112" s="10">
        <v>0.10416666666666667</v>
      </c>
    </row>
    <row r="113" spans="1:5" s="7" customFormat="1" ht="19.5" customHeight="1" x14ac:dyDescent="0.3">
      <c r="A113" s="108" t="s">
        <v>533</v>
      </c>
      <c r="B113" s="9">
        <v>3</v>
      </c>
      <c r="C113" s="9">
        <v>32</v>
      </c>
      <c r="D113" s="10">
        <v>9.9999999999999992E-2</v>
      </c>
      <c r="E113" s="10">
        <v>0.74375000000000002</v>
      </c>
    </row>
    <row r="114" spans="1:5" s="7" customFormat="1" ht="19.5" customHeight="1" x14ac:dyDescent="0.3">
      <c r="A114" s="108" t="s">
        <v>428</v>
      </c>
      <c r="B114" s="9">
        <v>2</v>
      </c>
      <c r="C114" s="9">
        <v>32</v>
      </c>
      <c r="D114" s="10">
        <v>0.15972222222222224</v>
      </c>
      <c r="E114" s="10">
        <v>0.64583333333333337</v>
      </c>
    </row>
    <row r="115" spans="1:5" s="7" customFormat="1" ht="19.5" customHeight="1" x14ac:dyDescent="0.3">
      <c r="A115" s="108" t="s">
        <v>395</v>
      </c>
      <c r="B115" s="9">
        <v>1</v>
      </c>
      <c r="C115" s="9">
        <v>32</v>
      </c>
      <c r="D115" s="10">
        <v>0</v>
      </c>
      <c r="E115" s="10">
        <v>0.3215277777777778</v>
      </c>
    </row>
    <row r="116" spans="1:5" s="7" customFormat="1" ht="19.5" customHeight="1" x14ac:dyDescent="0.3">
      <c r="A116" s="108" t="s">
        <v>42</v>
      </c>
      <c r="B116" s="9">
        <v>42</v>
      </c>
      <c r="C116" s="9">
        <v>31</v>
      </c>
      <c r="D116" s="10">
        <v>7.2222222222222229E-2</v>
      </c>
      <c r="E116" s="10">
        <v>0.52152777777777781</v>
      </c>
    </row>
    <row r="117" spans="1:5" s="7" customFormat="1" ht="19.5" customHeight="1" x14ac:dyDescent="0.3">
      <c r="A117" s="108" t="s">
        <v>324</v>
      </c>
      <c r="B117" s="9">
        <v>6</v>
      </c>
      <c r="C117" s="9">
        <v>31</v>
      </c>
      <c r="D117" s="10">
        <v>5.347222222222222E-2</v>
      </c>
      <c r="E117" s="10">
        <v>0.41597222222222219</v>
      </c>
    </row>
    <row r="118" spans="1:5" s="7" customFormat="1" ht="19.5" customHeight="1" x14ac:dyDescent="0.3">
      <c r="A118" s="108" t="s">
        <v>358</v>
      </c>
      <c r="B118" s="9">
        <v>1</v>
      </c>
      <c r="C118" s="9">
        <v>31</v>
      </c>
      <c r="D118" s="10">
        <v>7.6388888888888886E-3</v>
      </c>
      <c r="E118" s="10">
        <v>0.35138888888888892</v>
      </c>
    </row>
    <row r="119" spans="1:5" s="7" customFormat="1" ht="19.5" customHeight="1" x14ac:dyDescent="0.3">
      <c r="A119" s="108" t="s">
        <v>381</v>
      </c>
      <c r="B119" s="9">
        <v>1</v>
      </c>
      <c r="C119" s="9">
        <v>31</v>
      </c>
      <c r="D119" s="10">
        <v>0</v>
      </c>
      <c r="E119" s="10">
        <v>0.85486111111111107</v>
      </c>
    </row>
    <row r="120" spans="1:5" s="7" customFormat="1" ht="32.25" x14ac:dyDescent="0.3">
      <c r="A120" s="108" t="s">
        <v>418</v>
      </c>
      <c r="B120" s="9">
        <v>1</v>
      </c>
      <c r="C120" s="9">
        <v>31</v>
      </c>
      <c r="D120" s="10">
        <v>0.27499999999999997</v>
      </c>
      <c r="E120" s="10">
        <v>0.63680555555555551</v>
      </c>
    </row>
    <row r="121" spans="1:5" s="7" customFormat="1" ht="19.5" customHeight="1" x14ac:dyDescent="0.3">
      <c r="A121" s="108" t="s">
        <v>304</v>
      </c>
      <c r="B121" s="9">
        <v>21</v>
      </c>
      <c r="C121" s="9">
        <v>30</v>
      </c>
      <c r="D121" s="10">
        <v>0.12083333333333333</v>
      </c>
      <c r="E121" s="10">
        <v>0.65277777777777779</v>
      </c>
    </row>
    <row r="122" spans="1:5" s="7" customFormat="1" ht="19.5" customHeight="1" x14ac:dyDescent="0.3">
      <c r="A122" s="108" t="s">
        <v>495</v>
      </c>
      <c r="B122" s="9">
        <v>11</v>
      </c>
      <c r="C122" s="9">
        <v>30</v>
      </c>
      <c r="D122" s="10">
        <v>2.9166666666666664E-2</v>
      </c>
      <c r="E122" s="10">
        <v>0.44166666666666665</v>
      </c>
    </row>
    <row r="123" spans="1:5" s="7" customFormat="1" ht="19.5" customHeight="1" x14ac:dyDescent="0.3">
      <c r="A123" s="108" t="s">
        <v>327</v>
      </c>
      <c r="B123" s="9">
        <v>4</v>
      </c>
      <c r="C123" s="9">
        <v>30</v>
      </c>
      <c r="D123" s="10">
        <v>3.472222222222222E-3</v>
      </c>
      <c r="E123" s="10">
        <v>0.46736111111111112</v>
      </c>
    </row>
    <row r="124" spans="1:5" s="7" customFormat="1" ht="19.5" customHeight="1" x14ac:dyDescent="0.3">
      <c r="A124" s="108" t="s">
        <v>470</v>
      </c>
      <c r="B124" s="9">
        <v>3</v>
      </c>
      <c r="C124" s="9">
        <v>30</v>
      </c>
      <c r="D124" s="10">
        <v>4.1666666666666666E-3</v>
      </c>
      <c r="E124" s="10">
        <v>0.5444444444444444</v>
      </c>
    </row>
    <row r="125" spans="1:5" s="7" customFormat="1" ht="19.5" customHeight="1" x14ac:dyDescent="0.3">
      <c r="A125" s="108" t="s">
        <v>385</v>
      </c>
      <c r="B125" s="9">
        <v>1</v>
      </c>
      <c r="C125" s="9">
        <v>30</v>
      </c>
      <c r="D125" s="10">
        <v>2.1527777777777781E-2</v>
      </c>
      <c r="E125" s="10">
        <v>0.53055555555555556</v>
      </c>
    </row>
    <row r="126" spans="1:5" s="7" customFormat="1" ht="19.5" customHeight="1" x14ac:dyDescent="0.3">
      <c r="A126" s="108" t="s">
        <v>414</v>
      </c>
      <c r="B126" s="9">
        <v>1</v>
      </c>
      <c r="C126" s="9">
        <v>30</v>
      </c>
      <c r="D126" s="10">
        <v>2.7777777777777779E-3</v>
      </c>
      <c r="E126" s="10">
        <v>1.5319444444444443</v>
      </c>
    </row>
    <row r="127" spans="1:5" s="7" customFormat="1" ht="19.5" customHeight="1" x14ac:dyDescent="0.3">
      <c r="A127" s="108" t="s">
        <v>394</v>
      </c>
      <c r="B127" s="9">
        <v>17</v>
      </c>
      <c r="C127" s="9">
        <v>29</v>
      </c>
      <c r="D127" s="10">
        <v>4.1666666666666666E-3</v>
      </c>
      <c r="E127" s="10">
        <v>0.45</v>
      </c>
    </row>
    <row r="128" spans="1:5" s="7" customFormat="1" ht="19.5" customHeight="1" x14ac:dyDescent="0.3">
      <c r="A128" s="108" t="s">
        <v>325</v>
      </c>
      <c r="B128" s="9">
        <v>3</v>
      </c>
      <c r="C128" s="9">
        <v>29</v>
      </c>
      <c r="D128" s="10">
        <v>6.5972222222222224E-2</v>
      </c>
      <c r="E128" s="10">
        <v>0.33402777777777781</v>
      </c>
    </row>
    <row r="129" spans="1:5" s="7" customFormat="1" ht="19.5" customHeight="1" x14ac:dyDescent="0.3">
      <c r="A129" s="108" t="s">
        <v>338</v>
      </c>
      <c r="B129" s="9">
        <v>2</v>
      </c>
      <c r="C129" s="9">
        <v>29</v>
      </c>
      <c r="D129" s="10">
        <v>0</v>
      </c>
      <c r="E129" s="10">
        <v>1.0395833333333333</v>
      </c>
    </row>
    <row r="130" spans="1:5" s="7" customFormat="1" ht="19.5" customHeight="1" x14ac:dyDescent="0.3">
      <c r="A130" s="108" t="s">
        <v>493</v>
      </c>
      <c r="B130" s="9">
        <v>2</v>
      </c>
      <c r="C130" s="9">
        <v>29</v>
      </c>
      <c r="D130" s="10">
        <v>3.2638888888888891E-2</v>
      </c>
      <c r="E130" s="10">
        <v>0.27361111111111108</v>
      </c>
    </row>
    <row r="131" spans="1:5" s="7" customFormat="1" ht="19.5" customHeight="1" x14ac:dyDescent="0.3">
      <c r="A131" s="108" t="s">
        <v>393</v>
      </c>
      <c r="B131" s="9">
        <v>1</v>
      </c>
      <c r="C131" s="9">
        <v>29</v>
      </c>
      <c r="D131" s="10">
        <v>0</v>
      </c>
      <c r="E131" s="10">
        <v>0.59791666666666665</v>
      </c>
    </row>
    <row r="132" spans="1:5" s="7" customFormat="1" ht="19.5" customHeight="1" x14ac:dyDescent="0.3">
      <c r="A132" s="108" t="s">
        <v>503</v>
      </c>
      <c r="B132" s="9">
        <v>5</v>
      </c>
      <c r="C132" s="9">
        <v>28</v>
      </c>
      <c r="D132" s="10">
        <v>1.6666666666666666E-2</v>
      </c>
      <c r="E132" s="10">
        <v>0.39166666666666666</v>
      </c>
    </row>
    <row r="133" spans="1:5" s="7" customFormat="1" ht="19.5" customHeight="1" x14ac:dyDescent="0.3">
      <c r="A133" s="108" t="s">
        <v>330</v>
      </c>
      <c r="B133" s="9">
        <v>1</v>
      </c>
      <c r="C133" s="9">
        <v>28</v>
      </c>
      <c r="D133" s="10">
        <v>6.9444444444444447E-4</v>
      </c>
      <c r="E133" s="10">
        <v>0.43124999999999997</v>
      </c>
    </row>
    <row r="134" spans="1:5" s="7" customFormat="1" ht="19.5" customHeight="1" x14ac:dyDescent="0.3">
      <c r="A134" s="108" t="s">
        <v>336</v>
      </c>
      <c r="B134" s="9">
        <v>1</v>
      </c>
      <c r="C134" s="9">
        <v>28</v>
      </c>
      <c r="D134" s="10">
        <v>6.9444444444444441E-3</v>
      </c>
      <c r="E134" s="10">
        <v>0.69305555555555554</v>
      </c>
    </row>
    <row r="135" spans="1:5" s="7" customFormat="1" ht="32.25" x14ac:dyDescent="0.3">
      <c r="A135" s="108" t="s">
        <v>412</v>
      </c>
      <c r="B135" s="9">
        <v>1</v>
      </c>
      <c r="C135" s="9">
        <v>28</v>
      </c>
      <c r="D135" s="10">
        <v>1.0416666666666666E-2</v>
      </c>
      <c r="E135" s="10">
        <v>0.8305555555555556</v>
      </c>
    </row>
    <row r="136" spans="1:5" s="7" customFormat="1" ht="19.5" customHeight="1" x14ac:dyDescent="0.3">
      <c r="A136" s="108" t="s">
        <v>434</v>
      </c>
      <c r="B136" s="9">
        <v>1</v>
      </c>
      <c r="C136" s="9">
        <v>28</v>
      </c>
      <c r="D136" s="10">
        <v>0</v>
      </c>
      <c r="E136" s="10">
        <v>0.60833333333333328</v>
      </c>
    </row>
    <row r="137" spans="1:5" s="7" customFormat="1" ht="19.5" customHeight="1" x14ac:dyDescent="0.3">
      <c r="A137" s="108" t="s">
        <v>525</v>
      </c>
      <c r="B137" s="9">
        <v>29</v>
      </c>
      <c r="C137" s="9">
        <v>27</v>
      </c>
      <c r="D137" s="10">
        <v>3.2638888888888891E-2</v>
      </c>
      <c r="E137" s="10">
        <v>0.53125</v>
      </c>
    </row>
    <row r="138" spans="1:5" s="7" customFormat="1" ht="19.5" customHeight="1" x14ac:dyDescent="0.3">
      <c r="A138" s="108" t="s">
        <v>444</v>
      </c>
      <c r="B138" s="9">
        <v>4</v>
      </c>
      <c r="C138" s="9">
        <v>27</v>
      </c>
      <c r="D138" s="10">
        <v>0</v>
      </c>
      <c r="E138" s="10">
        <v>0.41736111111111113</v>
      </c>
    </row>
    <row r="139" spans="1:5" s="7" customFormat="1" ht="19.5" customHeight="1" x14ac:dyDescent="0.3">
      <c r="A139" s="108" t="s">
        <v>489</v>
      </c>
      <c r="B139" s="9">
        <v>2</v>
      </c>
      <c r="C139" s="9">
        <v>27</v>
      </c>
      <c r="D139" s="10">
        <v>3.7499999999999999E-2</v>
      </c>
      <c r="E139" s="10">
        <v>0.3840277777777778</v>
      </c>
    </row>
    <row r="140" spans="1:5" s="7" customFormat="1" ht="19.5" customHeight="1" x14ac:dyDescent="0.3">
      <c r="A140" s="108" t="s">
        <v>524</v>
      </c>
      <c r="B140" s="9">
        <v>1</v>
      </c>
      <c r="C140" s="9">
        <v>27</v>
      </c>
      <c r="D140" s="10">
        <v>1.6666666666666666E-2</v>
      </c>
      <c r="E140" s="10">
        <v>0.72361111111111109</v>
      </c>
    </row>
    <row r="141" spans="1:5" s="7" customFormat="1" ht="19.5" customHeight="1" x14ac:dyDescent="0.3">
      <c r="A141" s="108" t="s">
        <v>456</v>
      </c>
      <c r="B141" s="9">
        <v>35</v>
      </c>
      <c r="C141" s="9">
        <v>26</v>
      </c>
      <c r="D141" s="10">
        <v>6.1111111111111116E-2</v>
      </c>
      <c r="E141" s="10">
        <v>0.51874999999999993</v>
      </c>
    </row>
    <row r="142" spans="1:5" s="7" customFormat="1" ht="19.5" customHeight="1" x14ac:dyDescent="0.3">
      <c r="A142" s="108" t="s">
        <v>496</v>
      </c>
      <c r="B142" s="9">
        <v>8</v>
      </c>
      <c r="C142" s="9">
        <v>26</v>
      </c>
      <c r="D142" s="10">
        <v>6.7361111111111108E-2</v>
      </c>
      <c r="E142" s="10">
        <v>0.60347222222222219</v>
      </c>
    </row>
    <row r="143" spans="1:5" s="7" customFormat="1" ht="19.5" customHeight="1" x14ac:dyDescent="0.3">
      <c r="A143" s="108" t="s">
        <v>487</v>
      </c>
      <c r="B143" s="9">
        <v>6</v>
      </c>
      <c r="C143" s="9">
        <v>26</v>
      </c>
      <c r="D143" s="10">
        <v>1.3888888888888889E-3</v>
      </c>
      <c r="E143" s="10">
        <v>0.35694444444444445</v>
      </c>
    </row>
    <row r="144" spans="1:5" s="7" customFormat="1" ht="19.5" customHeight="1" x14ac:dyDescent="0.3">
      <c r="A144" s="108" t="s">
        <v>492</v>
      </c>
      <c r="B144" s="9">
        <v>5</v>
      </c>
      <c r="C144" s="9">
        <v>26</v>
      </c>
      <c r="D144" s="10">
        <v>2.6388888888888889E-2</v>
      </c>
      <c r="E144" s="10">
        <v>0.45763888888888887</v>
      </c>
    </row>
    <row r="145" spans="1:5" s="7" customFormat="1" ht="19.5" customHeight="1" x14ac:dyDescent="0.3">
      <c r="A145" s="108" t="s">
        <v>431</v>
      </c>
      <c r="B145" s="9">
        <v>2</v>
      </c>
      <c r="C145" s="9">
        <v>26</v>
      </c>
      <c r="D145" s="10">
        <v>0.28194444444444444</v>
      </c>
      <c r="E145" s="10">
        <v>5.9027777777777783E-2</v>
      </c>
    </row>
    <row r="146" spans="1:5" s="7" customFormat="1" ht="19.5" customHeight="1" x14ac:dyDescent="0.3">
      <c r="A146" s="108" t="s">
        <v>347</v>
      </c>
      <c r="B146" s="9">
        <v>1</v>
      </c>
      <c r="C146" s="9">
        <v>26</v>
      </c>
      <c r="D146" s="10">
        <v>3.472222222222222E-3</v>
      </c>
      <c r="E146" s="10">
        <v>0.51111111111111118</v>
      </c>
    </row>
    <row r="147" spans="1:5" s="7" customFormat="1" ht="19.5" customHeight="1" x14ac:dyDescent="0.3">
      <c r="A147" s="108" t="s">
        <v>404</v>
      </c>
      <c r="B147" s="9">
        <v>1</v>
      </c>
      <c r="C147" s="9">
        <v>26</v>
      </c>
      <c r="D147" s="10">
        <v>6.9444444444444441E-3</v>
      </c>
      <c r="E147" s="10">
        <v>0.5229166666666667</v>
      </c>
    </row>
    <row r="148" spans="1:5" s="7" customFormat="1" ht="19.5" customHeight="1" x14ac:dyDescent="0.3">
      <c r="A148" s="108" t="s">
        <v>429</v>
      </c>
      <c r="B148" s="9">
        <v>1</v>
      </c>
      <c r="C148" s="9">
        <v>26</v>
      </c>
      <c r="D148" s="10">
        <v>4.9305555555555554E-2</v>
      </c>
      <c r="E148" s="10">
        <v>0.57152777777777775</v>
      </c>
    </row>
    <row r="149" spans="1:5" s="7" customFormat="1" ht="19.5" customHeight="1" x14ac:dyDescent="0.3">
      <c r="A149" s="108" t="s">
        <v>407</v>
      </c>
      <c r="B149" s="9">
        <v>8</v>
      </c>
      <c r="C149" s="9">
        <v>25</v>
      </c>
      <c r="D149" s="10">
        <v>0.13749999999999998</v>
      </c>
      <c r="E149" s="10">
        <v>0.62430555555555556</v>
      </c>
    </row>
    <row r="150" spans="1:5" s="7" customFormat="1" ht="19.5" customHeight="1" x14ac:dyDescent="0.3">
      <c r="A150" s="108" t="s">
        <v>340</v>
      </c>
      <c r="B150" s="9">
        <v>1</v>
      </c>
      <c r="C150" s="9">
        <v>25</v>
      </c>
      <c r="D150" s="10">
        <v>6.9444444444444441E-3</v>
      </c>
      <c r="E150" s="10">
        <v>0.54375000000000007</v>
      </c>
    </row>
    <row r="151" spans="1:5" s="7" customFormat="1" ht="32.25" x14ac:dyDescent="0.3">
      <c r="A151" s="108" t="s">
        <v>372</v>
      </c>
      <c r="B151" s="9">
        <v>1</v>
      </c>
      <c r="C151" s="9">
        <v>25</v>
      </c>
      <c r="D151" s="10">
        <v>0</v>
      </c>
      <c r="E151" s="10">
        <v>0.77222222222222225</v>
      </c>
    </row>
    <row r="152" spans="1:5" s="7" customFormat="1" ht="19.5" customHeight="1" x14ac:dyDescent="0.3">
      <c r="A152" s="108" t="s">
        <v>303</v>
      </c>
      <c r="B152" s="9">
        <v>7</v>
      </c>
      <c r="C152" s="9">
        <v>24</v>
      </c>
      <c r="D152" s="10">
        <v>0.25277777777777777</v>
      </c>
      <c r="E152" s="10">
        <v>0.75069444444444444</v>
      </c>
    </row>
    <row r="153" spans="1:5" s="7" customFormat="1" ht="19.5" customHeight="1" x14ac:dyDescent="0.3">
      <c r="A153" s="108" t="s">
        <v>313</v>
      </c>
      <c r="B153" s="9">
        <v>4</v>
      </c>
      <c r="C153" s="9">
        <v>24</v>
      </c>
      <c r="D153" s="10">
        <v>5.5555555555555558E-3</v>
      </c>
      <c r="E153" s="10">
        <v>0.5625</v>
      </c>
    </row>
    <row r="154" spans="1:5" s="7" customFormat="1" ht="19.5" customHeight="1" x14ac:dyDescent="0.3">
      <c r="A154" s="108" t="s">
        <v>478</v>
      </c>
      <c r="B154" s="9">
        <v>4</v>
      </c>
      <c r="C154" s="9">
        <v>24</v>
      </c>
      <c r="D154" s="10">
        <v>6.25E-2</v>
      </c>
      <c r="E154" s="10">
        <v>0.50208333333333333</v>
      </c>
    </row>
    <row r="155" spans="1:5" s="7" customFormat="1" ht="19.5" customHeight="1" x14ac:dyDescent="0.3">
      <c r="A155" s="108" t="s">
        <v>468</v>
      </c>
      <c r="B155" s="9">
        <v>3</v>
      </c>
      <c r="C155" s="9">
        <v>24</v>
      </c>
      <c r="D155" s="10">
        <v>4.4444444444444446E-2</v>
      </c>
      <c r="E155" s="10">
        <v>0.4916666666666667</v>
      </c>
    </row>
    <row r="156" spans="1:5" s="7" customFormat="1" ht="19.5" customHeight="1" x14ac:dyDescent="0.3">
      <c r="A156" s="108" t="s">
        <v>328</v>
      </c>
      <c r="B156" s="9">
        <v>2</v>
      </c>
      <c r="C156" s="9">
        <v>24</v>
      </c>
      <c r="D156" s="10">
        <v>2.7777777777777779E-3</v>
      </c>
      <c r="E156" s="10">
        <v>0.625</v>
      </c>
    </row>
    <row r="157" spans="1:5" s="7" customFormat="1" ht="19.5" customHeight="1" x14ac:dyDescent="0.3">
      <c r="A157" s="108" t="s">
        <v>341</v>
      </c>
      <c r="B157" s="9">
        <v>1</v>
      </c>
      <c r="C157" s="9">
        <v>24</v>
      </c>
      <c r="D157" s="10">
        <v>7.4999999999999997E-2</v>
      </c>
      <c r="E157" s="10">
        <v>0.96458333333333324</v>
      </c>
    </row>
    <row r="158" spans="1:5" s="7" customFormat="1" ht="19.5" customHeight="1" x14ac:dyDescent="0.3">
      <c r="A158" s="108" t="s">
        <v>344</v>
      </c>
      <c r="B158" s="9">
        <v>1</v>
      </c>
      <c r="C158" s="9">
        <v>24</v>
      </c>
      <c r="D158" s="10">
        <v>0</v>
      </c>
      <c r="E158" s="10">
        <v>0.86111111111111116</v>
      </c>
    </row>
    <row r="159" spans="1:5" s="7" customFormat="1" ht="19.5" customHeight="1" x14ac:dyDescent="0.3">
      <c r="A159" s="108" t="s">
        <v>354</v>
      </c>
      <c r="B159" s="9">
        <v>1</v>
      </c>
      <c r="C159" s="9">
        <v>24</v>
      </c>
      <c r="D159" s="10">
        <v>1.2499999999999999E-2</v>
      </c>
      <c r="E159" s="10">
        <v>0.57777777777777783</v>
      </c>
    </row>
    <row r="160" spans="1:5" s="7" customFormat="1" ht="19.5" customHeight="1" x14ac:dyDescent="0.3">
      <c r="A160" s="108" t="s">
        <v>447</v>
      </c>
      <c r="B160" s="9">
        <v>1</v>
      </c>
      <c r="C160" s="9">
        <v>24</v>
      </c>
      <c r="D160" s="10">
        <v>1.6666666666666666E-2</v>
      </c>
      <c r="E160" s="10">
        <v>0.65555555555555556</v>
      </c>
    </row>
    <row r="161" spans="1:5" s="7" customFormat="1" ht="19.5" customHeight="1" x14ac:dyDescent="0.3">
      <c r="A161" s="108" t="s">
        <v>505</v>
      </c>
      <c r="B161" s="9">
        <v>10</v>
      </c>
      <c r="C161" s="9">
        <v>23</v>
      </c>
      <c r="D161" s="10">
        <v>8.3333333333333332E-3</v>
      </c>
      <c r="E161" s="10">
        <v>0.47986111111111113</v>
      </c>
    </row>
    <row r="162" spans="1:5" s="7" customFormat="1" ht="19.5" customHeight="1" x14ac:dyDescent="0.3">
      <c r="A162" s="108" t="s">
        <v>529</v>
      </c>
      <c r="B162" s="9">
        <v>7</v>
      </c>
      <c r="C162" s="9">
        <v>23</v>
      </c>
      <c r="D162" s="10">
        <v>1.3888888888888888E-2</v>
      </c>
      <c r="E162" s="10">
        <v>0.42777777777777781</v>
      </c>
    </row>
    <row r="163" spans="1:5" s="7" customFormat="1" ht="19.5" customHeight="1" x14ac:dyDescent="0.3">
      <c r="A163" s="108" t="s">
        <v>440</v>
      </c>
      <c r="B163" s="9">
        <v>3</v>
      </c>
      <c r="C163" s="9">
        <v>23</v>
      </c>
      <c r="D163" s="10">
        <v>9.1666666666666674E-2</v>
      </c>
      <c r="E163" s="10">
        <v>0.62708333333333333</v>
      </c>
    </row>
    <row r="164" spans="1:5" s="7" customFormat="1" ht="19.5" customHeight="1" x14ac:dyDescent="0.3">
      <c r="A164" s="108" t="s">
        <v>374</v>
      </c>
      <c r="B164" s="9">
        <v>1</v>
      </c>
      <c r="C164" s="9">
        <v>23</v>
      </c>
      <c r="D164" s="10">
        <v>0.10486111111111111</v>
      </c>
      <c r="E164" s="10">
        <v>0.66736111111111107</v>
      </c>
    </row>
    <row r="165" spans="1:5" s="7" customFormat="1" ht="19.5" customHeight="1" x14ac:dyDescent="0.3">
      <c r="A165" s="108" t="s">
        <v>386</v>
      </c>
      <c r="B165" s="9">
        <v>1</v>
      </c>
      <c r="C165" s="9">
        <v>23</v>
      </c>
      <c r="D165" s="10">
        <v>2.4999999999999998E-2</v>
      </c>
      <c r="E165" s="10">
        <v>0.67083333333333339</v>
      </c>
    </row>
    <row r="166" spans="1:5" s="7" customFormat="1" ht="19.5" customHeight="1" x14ac:dyDescent="0.3">
      <c r="A166" s="108" t="s">
        <v>446</v>
      </c>
      <c r="B166" s="9">
        <v>4</v>
      </c>
      <c r="C166" s="9">
        <v>22</v>
      </c>
      <c r="D166" s="10">
        <v>1.5972222222222224E-2</v>
      </c>
      <c r="E166" s="10">
        <v>0.57291666666666663</v>
      </c>
    </row>
    <row r="167" spans="1:5" s="7" customFormat="1" ht="19.5" customHeight="1" x14ac:dyDescent="0.3">
      <c r="A167" s="108" t="s">
        <v>530</v>
      </c>
      <c r="B167" s="9">
        <v>4</v>
      </c>
      <c r="C167" s="9">
        <v>22</v>
      </c>
      <c r="D167" s="10">
        <v>1.3888888888888889E-3</v>
      </c>
      <c r="E167" s="10">
        <v>0.31041666666666667</v>
      </c>
    </row>
    <row r="168" spans="1:5" s="7" customFormat="1" ht="19.5" customHeight="1" x14ac:dyDescent="0.3">
      <c r="A168" s="108" t="s">
        <v>536</v>
      </c>
      <c r="B168" s="9">
        <v>4</v>
      </c>
      <c r="C168" s="9">
        <v>22</v>
      </c>
      <c r="D168" s="10">
        <v>4.4444444444444446E-2</v>
      </c>
      <c r="E168" s="10">
        <v>0.54375000000000007</v>
      </c>
    </row>
    <row r="169" spans="1:5" s="7" customFormat="1" ht="19.5" customHeight="1" x14ac:dyDescent="0.3">
      <c r="A169" s="108" t="s">
        <v>373</v>
      </c>
      <c r="B169" s="9">
        <v>2</v>
      </c>
      <c r="C169" s="9">
        <v>22</v>
      </c>
      <c r="D169" s="10">
        <v>7.013888888888889E-2</v>
      </c>
      <c r="E169" s="10">
        <v>0.47569444444444442</v>
      </c>
    </row>
    <row r="170" spans="1:5" s="7" customFormat="1" ht="19.5" customHeight="1" x14ac:dyDescent="0.3">
      <c r="A170" s="108" t="s">
        <v>403</v>
      </c>
      <c r="B170" s="9">
        <v>2</v>
      </c>
      <c r="C170" s="9">
        <v>22</v>
      </c>
      <c r="D170" s="10">
        <v>0.1277777777777778</v>
      </c>
      <c r="E170" s="10">
        <v>0.42986111111111108</v>
      </c>
    </row>
    <row r="171" spans="1:5" s="7" customFormat="1" ht="19.5" customHeight="1" x14ac:dyDescent="0.3">
      <c r="A171" s="108" t="s">
        <v>415</v>
      </c>
      <c r="B171" s="9">
        <v>1</v>
      </c>
      <c r="C171" s="9">
        <v>22</v>
      </c>
      <c r="D171" s="10">
        <v>9.0277777777777787E-3</v>
      </c>
      <c r="E171" s="10">
        <v>0.51666666666666672</v>
      </c>
    </row>
    <row r="172" spans="1:5" s="7" customFormat="1" ht="19.5" customHeight="1" x14ac:dyDescent="0.3">
      <c r="A172" s="108" t="s">
        <v>522</v>
      </c>
      <c r="B172" s="9">
        <v>29</v>
      </c>
      <c r="C172" s="9">
        <v>21</v>
      </c>
      <c r="D172" s="10">
        <v>4.9305555555555554E-2</v>
      </c>
      <c r="E172" s="10">
        <v>0.53333333333333333</v>
      </c>
    </row>
    <row r="173" spans="1:5" s="7" customFormat="1" ht="19.5" customHeight="1" x14ac:dyDescent="0.3">
      <c r="A173" s="108" t="s">
        <v>516</v>
      </c>
      <c r="B173" s="9">
        <v>17</v>
      </c>
      <c r="C173" s="9">
        <v>21</v>
      </c>
      <c r="D173" s="10">
        <v>3.3333333333333333E-2</v>
      </c>
      <c r="E173" s="10">
        <v>0.60833333333333328</v>
      </c>
    </row>
    <row r="174" spans="1:5" s="7" customFormat="1" ht="19.5" customHeight="1" x14ac:dyDescent="0.3">
      <c r="A174" s="108" t="s">
        <v>482</v>
      </c>
      <c r="B174" s="9">
        <v>7</v>
      </c>
      <c r="C174" s="9">
        <v>21</v>
      </c>
      <c r="D174" s="10">
        <v>3.9583333333333331E-2</v>
      </c>
      <c r="E174" s="10">
        <v>0.49652777777777773</v>
      </c>
    </row>
    <row r="175" spans="1:5" s="7" customFormat="1" ht="19.5" customHeight="1" x14ac:dyDescent="0.3">
      <c r="A175" s="108" t="s">
        <v>531</v>
      </c>
      <c r="B175" s="9">
        <v>7</v>
      </c>
      <c r="C175" s="9">
        <v>21</v>
      </c>
      <c r="D175" s="10">
        <v>3.8194444444444441E-2</v>
      </c>
      <c r="E175" s="10">
        <v>0.39027777777777778</v>
      </c>
    </row>
    <row r="176" spans="1:5" s="7" customFormat="1" ht="19.5" customHeight="1" x14ac:dyDescent="0.3">
      <c r="A176" s="108" t="s">
        <v>409</v>
      </c>
      <c r="B176" s="9">
        <v>3</v>
      </c>
      <c r="C176" s="9">
        <v>21</v>
      </c>
      <c r="D176" s="10">
        <v>8.3333333333333332E-3</v>
      </c>
      <c r="E176" s="10">
        <v>0.7368055555555556</v>
      </c>
    </row>
    <row r="177" spans="1:5" s="7" customFormat="1" ht="19.5" customHeight="1" x14ac:dyDescent="0.3">
      <c r="A177" s="108" t="s">
        <v>368</v>
      </c>
      <c r="B177" s="9">
        <v>1</v>
      </c>
      <c r="C177" s="9">
        <v>21</v>
      </c>
      <c r="D177" s="10">
        <v>0</v>
      </c>
      <c r="E177" s="10">
        <v>0.71458333333333324</v>
      </c>
    </row>
    <row r="178" spans="1:5" s="7" customFormat="1" ht="19.5" customHeight="1" x14ac:dyDescent="0.3">
      <c r="A178" s="108" t="s">
        <v>390</v>
      </c>
      <c r="B178" s="9">
        <v>1</v>
      </c>
      <c r="C178" s="9">
        <v>21</v>
      </c>
      <c r="D178" s="10">
        <v>3.2638888888888891E-2</v>
      </c>
      <c r="E178" s="10">
        <v>0.73611111111111116</v>
      </c>
    </row>
    <row r="179" spans="1:5" s="7" customFormat="1" ht="19.5" customHeight="1" x14ac:dyDescent="0.3">
      <c r="A179" s="108" t="s">
        <v>420</v>
      </c>
      <c r="B179" s="9">
        <v>1</v>
      </c>
      <c r="C179" s="9">
        <v>21</v>
      </c>
      <c r="D179" s="10">
        <v>0</v>
      </c>
      <c r="E179" s="10">
        <v>0.83263888888888893</v>
      </c>
    </row>
    <row r="180" spans="1:5" s="7" customFormat="1" ht="19.5" customHeight="1" x14ac:dyDescent="0.3">
      <c r="A180" s="108" t="s">
        <v>391</v>
      </c>
      <c r="B180" s="9">
        <v>18</v>
      </c>
      <c r="C180" s="9">
        <v>20</v>
      </c>
      <c r="D180" s="10">
        <v>7.6388888888888895E-2</v>
      </c>
      <c r="E180" s="10">
        <v>0.57361111111111118</v>
      </c>
    </row>
    <row r="181" spans="1:5" s="7" customFormat="1" ht="19.5" customHeight="1" x14ac:dyDescent="0.3">
      <c r="A181" s="108" t="s">
        <v>71</v>
      </c>
      <c r="B181" s="9">
        <v>7</v>
      </c>
      <c r="C181" s="9">
        <v>20</v>
      </c>
      <c r="D181" s="10">
        <v>6.3888888888888884E-2</v>
      </c>
      <c r="E181" s="10">
        <v>0.52361111111111114</v>
      </c>
    </row>
    <row r="182" spans="1:5" s="7" customFormat="1" ht="19.5" customHeight="1" x14ac:dyDescent="0.3">
      <c r="A182" s="108" t="s">
        <v>510</v>
      </c>
      <c r="B182" s="9">
        <v>6</v>
      </c>
      <c r="C182" s="9">
        <v>20</v>
      </c>
      <c r="D182" s="10">
        <v>9.7222222222222224E-3</v>
      </c>
      <c r="E182" s="10">
        <v>0.52847222222222223</v>
      </c>
    </row>
    <row r="183" spans="1:5" s="7" customFormat="1" ht="19.5" customHeight="1" x14ac:dyDescent="0.3">
      <c r="A183" s="108" t="s">
        <v>481</v>
      </c>
      <c r="B183" s="9">
        <v>5</v>
      </c>
      <c r="C183" s="9">
        <v>20</v>
      </c>
      <c r="D183" s="10">
        <v>5.8333333333333327E-2</v>
      </c>
      <c r="E183" s="10">
        <v>0.67847222222222225</v>
      </c>
    </row>
    <row r="184" spans="1:5" s="7" customFormat="1" ht="19.5" customHeight="1" x14ac:dyDescent="0.3">
      <c r="A184" s="108" t="s">
        <v>535</v>
      </c>
      <c r="B184" s="9">
        <v>4</v>
      </c>
      <c r="C184" s="9">
        <v>20</v>
      </c>
      <c r="D184" s="10">
        <v>2.7777777777777779E-3</v>
      </c>
      <c r="E184" s="10">
        <v>0.22013888888888888</v>
      </c>
    </row>
    <row r="185" spans="1:5" s="7" customFormat="1" ht="19.5" customHeight="1" x14ac:dyDescent="0.3">
      <c r="A185" s="108" t="s">
        <v>308</v>
      </c>
      <c r="B185" s="9">
        <v>2</v>
      </c>
      <c r="C185" s="9">
        <v>20</v>
      </c>
      <c r="D185" s="10">
        <v>0.23611111111111113</v>
      </c>
      <c r="E185" s="10">
        <v>0.41111111111111115</v>
      </c>
    </row>
    <row r="186" spans="1:5" s="7" customFormat="1" ht="19.5" customHeight="1" x14ac:dyDescent="0.3">
      <c r="A186" s="108" t="s">
        <v>334</v>
      </c>
      <c r="B186" s="9">
        <v>1</v>
      </c>
      <c r="C186" s="9">
        <v>20</v>
      </c>
      <c r="D186" s="10">
        <v>0.13333333333333333</v>
      </c>
      <c r="E186" s="10">
        <v>0.80486111111111114</v>
      </c>
    </row>
    <row r="187" spans="1:5" s="7" customFormat="1" ht="19.5" customHeight="1" x14ac:dyDescent="0.3">
      <c r="A187" s="108" t="s">
        <v>377</v>
      </c>
      <c r="B187" s="9">
        <v>1</v>
      </c>
      <c r="C187" s="9">
        <v>20</v>
      </c>
      <c r="D187" s="10">
        <v>0.51111111111111118</v>
      </c>
      <c r="E187" s="10">
        <v>0.70208333333333339</v>
      </c>
    </row>
    <row r="188" spans="1:5" s="7" customFormat="1" ht="19.5" customHeight="1" x14ac:dyDescent="0.3">
      <c r="A188" s="108" t="s">
        <v>476</v>
      </c>
      <c r="B188" s="9">
        <v>4</v>
      </c>
      <c r="C188" s="9">
        <v>19</v>
      </c>
      <c r="D188" s="10">
        <v>9.0277777777777787E-3</v>
      </c>
      <c r="E188" s="10">
        <v>0.43402777777777773</v>
      </c>
    </row>
    <row r="189" spans="1:5" s="7" customFormat="1" ht="19.5" customHeight="1" x14ac:dyDescent="0.3">
      <c r="A189" s="108" t="s">
        <v>502</v>
      </c>
      <c r="B189" s="9">
        <v>2</v>
      </c>
      <c r="C189" s="9">
        <v>19</v>
      </c>
      <c r="D189" s="10">
        <v>7.6388888888888886E-3</v>
      </c>
      <c r="E189" s="10">
        <v>0.53333333333333333</v>
      </c>
    </row>
    <row r="190" spans="1:5" s="7" customFormat="1" ht="19.5" customHeight="1" x14ac:dyDescent="0.3">
      <c r="A190" s="108" t="s">
        <v>526</v>
      </c>
      <c r="B190" s="9">
        <v>2</v>
      </c>
      <c r="C190" s="9">
        <v>19</v>
      </c>
      <c r="D190" s="10">
        <v>4.2361111111111106E-2</v>
      </c>
      <c r="E190" s="10">
        <v>0.3666666666666667</v>
      </c>
    </row>
    <row r="191" spans="1:5" s="7" customFormat="1" ht="19.5" customHeight="1" x14ac:dyDescent="0.3">
      <c r="A191" s="108" t="s">
        <v>350</v>
      </c>
      <c r="B191" s="9">
        <v>1</v>
      </c>
      <c r="C191" s="9">
        <v>19</v>
      </c>
      <c r="D191" s="10">
        <v>0</v>
      </c>
      <c r="E191" s="10">
        <v>0.51180555555555551</v>
      </c>
    </row>
    <row r="192" spans="1:5" s="7" customFormat="1" ht="19.5" customHeight="1" x14ac:dyDescent="0.3">
      <c r="A192" s="108" t="s">
        <v>521</v>
      </c>
      <c r="B192" s="9">
        <v>2</v>
      </c>
      <c r="C192" s="9">
        <v>18</v>
      </c>
      <c r="D192" s="10">
        <v>1.3888888888888888E-2</v>
      </c>
      <c r="E192" s="10">
        <v>0.59583333333333333</v>
      </c>
    </row>
    <row r="193" spans="1:5" s="7" customFormat="1" ht="19.5" customHeight="1" x14ac:dyDescent="0.3">
      <c r="A193" s="108" t="s">
        <v>351</v>
      </c>
      <c r="B193" s="9">
        <v>1</v>
      </c>
      <c r="C193" s="9">
        <v>18</v>
      </c>
      <c r="D193" s="10">
        <v>2.0833333333333333E-3</v>
      </c>
      <c r="E193" s="10">
        <v>0.56805555555555554</v>
      </c>
    </row>
    <row r="194" spans="1:5" s="7" customFormat="1" ht="19.5" customHeight="1" x14ac:dyDescent="0.3">
      <c r="A194" s="108" t="s">
        <v>378</v>
      </c>
      <c r="B194" s="9">
        <v>1</v>
      </c>
      <c r="C194" s="9">
        <v>18</v>
      </c>
      <c r="D194" s="10">
        <v>0</v>
      </c>
      <c r="E194" s="10">
        <v>1.0090277777777776</v>
      </c>
    </row>
    <row r="195" spans="1:5" s="7" customFormat="1" ht="19.5" customHeight="1" x14ac:dyDescent="0.3">
      <c r="A195" s="108" t="s">
        <v>441</v>
      </c>
      <c r="B195" s="9">
        <v>32</v>
      </c>
      <c r="C195" s="9">
        <v>17</v>
      </c>
      <c r="D195" s="10">
        <v>0.18958333333333333</v>
      </c>
      <c r="E195" s="10">
        <v>0.4993055555555555</v>
      </c>
    </row>
    <row r="196" spans="1:5" s="7" customFormat="1" ht="19.5" customHeight="1" x14ac:dyDescent="0.3">
      <c r="A196" s="108" t="s">
        <v>512</v>
      </c>
      <c r="B196" s="9">
        <v>20</v>
      </c>
      <c r="C196" s="9">
        <v>17</v>
      </c>
      <c r="D196" s="10">
        <v>2.9861111111111113E-2</v>
      </c>
      <c r="E196" s="10">
        <v>0.49374999999999997</v>
      </c>
    </row>
    <row r="197" spans="1:5" s="7" customFormat="1" ht="19.5" customHeight="1" x14ac:dyDescent="0.3">
      <c r="A197" s="108" t="s">
        <v>508</v>
      </c>
      <c r="B197" s="9">
        <v>14</v>
      </c>
      <c r="C197" s="9">
        <v>17</v>
      </c>
      <c r="D197" s="10">
        <v>1.2499999999999999E-2</v>
      </c>
      <c r="E197" s="10">
        <v>0.54027777777777775</v>
      </c>
    </row>
    <row r="198" spans="1:5" s="7" customFormat="1" ht="19.5" customHeight="1" x14ac:dyDescent="0.3">
      <c r="A198" s="108" t="s">
        <v>366</v>
      </c>
      <c r="B198" s="9">
        <v>1</v>
      </c>
      <c r="C198" s="9">
        <v>17</v>
      </c>
      <c r="D198" s="10">
        <v>0</v>
      </c>
      <c r="E198" s="10">
        <v>0.48125000000000001</v>
      </c>
    </row>
    <row r="199" spans="1:5" s="7" customFormat="1" ht="19.5" customHeight="1" x14ac:dyDescent="0.3">
      <c r="A199" s="108" t="s">
        <v>315</v>
      </c>
      <c r="B199" s="9">
        <v>9</v>
      </c>
      <c r="C199" s="9">
        <v>16</v>
      </c>
      <c r="D199" s="10">
        <v>8.3333333333333332E-3</v>
      </c>
      <c r="E199" s="10">
        <v>0.45694444444444443</v>
      </c>
    </row>
    <row r="200" spans="1:5" s="7" customFormat="1" ht="19.5" customHeight="1" x14ac:dyDescent="0.3">
      <c r="A200" s="108" t="s">
        <v>443</v>
      </c>
      <c r="B200" s="9">
        <v>6</v>
      </c>
      <c r="C200" s="9">
        <v>16</v>
      </c>
      <c r="D200" s="10">
        <v>0.10347222222222223</v>
      </c>
      <c r="E200" s="10">
        <v>0.55208333333333337</v>
      </c>
    </row>
    <row r="201" spans="1:5" s="7" customFormat="1" ht="19.5" customHeight="1" x14ac:dyDescent="0.3">
      <c r="A201" s="108" t="s">
        <v>405</v>
      </c>
      <c r="B201" s="9">
        <v>5</v>
      </c>
      <c r="C201" s="9">
        <v>16</v>
      </c>
      <c r="D201" s="10">
        <v>6.1111111111111116E-2</v>
      </c>
      <c r="E201" s="10">
        <v>0.66736111111111107</v>
      </c>
    </row>
    <row r="202" spans="1:5" s="7" customFormat="1" ht="19.5" customHeight="1" x14ac:dyDescent="0.3">
      <c r="A202" s="108" t="s">
        <v>401</v>
      </c>
      <c r="B202" s="9">
        <v>3</v>
      </c>
      <c r="C202" s="9">
        <v>16</v>
      </c>
      <c r="D202" s="10">
        <v>8.4027777777777771E-2</v>
      </c>
      <c r="E202" s="10">
        <v>0.96111111111111114</v>
      </c>
    </row>
    <row r="203" spans="1:5" s="7" customFormat="1" ht="19.5" customHeight="1" x14ac:dyDescent="0.3">
      <c r="A203" s="108" t="s">
        <v>380</v>
      </c>
      <c r="B203" s="9">
        <v>1</v>
      </c>
      <c r="C203" s="9">
        <v>16</v>
      </c>
      <c r="D203" s="10">
        <v>1.5972222222222224E-2</v>
      </c>
      <c r="E203" s="10">
        <v>0.52430555555555558</v>
      </c>
    </row>
    <row r="204" spans="1:5" s="7" customFormat="1" ht="19.5" customHeight="1" x14ac:dyDescent="0.3">
      <c r="A204" s="108" t="s">
        <v>506</v>
      </c>
      <c r="B204" s="9">
        <v>9</v>
      </c>
      <c r="C204" s="9">
        <v>15</v>
      </c>
      <c r="D204" s="10">
        <v>2.9861111111111113E-2</v>
      </c>
      <c r="E204" s="10">
        <v>0.55555555555555558</v>
      </c>
    </row>
    <row r="205" spans="1:5" s="7" customFormat="1" ht="19.5" customHeight="1" x14ac:dyDescent="0.3">
      <c r="A205" s="108" t="s">
        <v>310</v>
      </c>
      <c r="B205" s="9">
        <v>7</v>
      </c>
      <c r="C205" s="9">
        <v>15</v>
      </c>
      <c r="D205" s="10">
        <v>2.361111111111111E-2</v>
      </c>
      <c r="E205" s="10">
        <v>0.56874999999999998</v>
      </c>
    </row>
    <row r="206" spans="1:5" s="7" customFormat="1" ht="19.5" customHeight="1" x14ac:dyDescent="0.3">
      <c r="A206" s="108" t="s">
        <v>339</v>
      </c>
      <c r="B206" s="9">
        <v>2</v>
      </c>
      <c r="C206" s="9">
        <v>15</v>
      </c>
      <c r="D206" s="10">
        <v>0.24513888888888888</v>
      </c>
      <c r="E206" s="10">
        <v>0.41805555555555557</v>
      </c>
    </row>
    <row r="207" spans="1:5" s="7" customFormat="1" ht="32.25" x14ac:dyDescent="0.3">
      <c r="A207" s="108" t="s">
        <v>410</v>
      </c>
      <c r="B207" s="9">
        <v>2</v>
      </c>
      <c r="C207" s="9">
        <v>15</v>
      </c>
      <c r="D207" s="10">
        <v>8.4027777777777771E-2</v>
      </c>
      <c r="E207" s="10">
        <v>0.59444444444444444</v>
      </c>
    </row>
    <row r="208" spans="1:5" s="7" customFormat="1" ht="19.5" customHeight="1" x14ac:dyDescent="0.3">
      <c r="A208" s="108" t="s">
        <v>523</v>
      </c>
      <c r="B208" s="9">
        <v>1</v>
      </c>
      <c r="C208" s="9">
        <v>15</v>
      </c>
      <c r="D208" s="10">
        <v>4.8611111111111112E-3</v>
      </c>
      <c r="E208" s="10">
        <v>0.65486111111111112</v>
      </c>
    </row>
    <row r="209" spans="1:5" s="7" customFormat="1" ht="19.5" customHeight="1" x14ac:dyDescent="0.3">
      <c r="A209" s="108" t="s">
        <v>519</v>
      </c>
      <c r="B209" s="9">
        <v>13</v>
      </c>
      <c r="C209" s="9">
        <v>14</v>
      </c>
      <c r="D209" s="10">
        <v>2.7777777777777776E-2</v>
      </c>
      <c r="E209" s="10">
        <v>0.7104166666666667</v>
      </c>
    </row>
    <row r="210" spans="1:5" s="7" customFormat="1" ht="19.5" customHeight="1" x14ac:dyDescent="0.3">
      <c r="A210" s="108" t="s">
        <v>332</v>
      </c>
      <c r="B210" s="9">
        <v>1</v>
      </c>
      <c r="C210" s="9">
        <v>14</v>
      </c>
      <c r="D210" s="10">
        <v>0.29583333333333334</v>
      </c>
      <c r="E210" s="10">
        <v>0.68263888888888891</v>
      </c>
    </row>
    <row r="211" spans="1:5" s="7" customFormat="1" ht="19.5" customHeight="1" x14ac:dyDescent="0.3">
      <c r="A211" s="108" t="s">
        <v>371</v>
      </c>
      <c r="B211" s="9">
        <v>1</v>
      </c>
      <c r="C211" s="9">
        <v>14</v>
      </c>
      <c r="D211" s="10">
        <v>0.11597222222222221</v>
      </c>
      <c r="E211" s="10">
        <v>0.80694444444444446</v>
      </c>
    </row>
    <row r="212" spans="1:5" s="7" customFormat="1" ht="19.5" customHeight="1" x14ac:dyDescent="0.3">
      <c r="A212" s="108" t="s">
        <v>413</v>
      </c>
      <c r="B212" s="9">
        <v>4</v>
      </c>
      <c r="C212" s="9">
        <v>13</v>
      </c>
      <c r="D212" s="10">
        <v>4.3055555555555562E-2</v>
      </c>
      <c r="E212" s="10">
        <v>0.46458333333333335</v>
      </c>
    </row>
    <row r="213" spans="1:5" s="7" customFormat="1" ht="19.5" customHeight="1" x14ac:dyDescent="0.3">
      <c r="A213" s="108" t="s">
        <v>459</v>
      </c>
      <c r="B213" s="9">
        <v>3</v>
      </c>
      <c r="C213" s="9">
        <v>13</v>
      </c>
      <c r="D213" s="10">
        <v>8.3333333333333332E-3</v>
      </c>
      <c r="E213" s="10">
        <v>0.56805555555555554</v>
      </c>
    </row>
    <row r="214" spans="1:5" s="7" customFormat="1" ht="19.5" customHeight="1" x14ac:dyDescent="0.3">
      <c r="A214" s="108" t="s">
        <v>517</v>
      </c>
      <c r="B214" s="9">
        <v>2</v>
      </c>
      <c r="C214" s="9">
        <v>13</v>
      </c>
      <c r="D214" s="10">
        <v>4.2361111111111106E-2</v>
      </c>
      <c r="E214" s="10">
        <v>0.73888888888888893</v>
      </c>
    </row>
    <row r="215" spans="1:5" s="7" customFormat="1" ht="19.5" customHeight="1" x14ac:dyDescent="0.3">
      <c r="A215" s="108" t="s">
        <v>337</v>
      </c>
      <c r="B215" s="9">
        <v>1</v>
      </c>
      <c r="C215" s="9">
        <v>13</v>
      </c>
      <c r="D215" s="10">
        <v>0.78611111111111109</v>
      </c>
      <c r="E215" s="10">
        <v>3.6111111111111115E-2</v>
      </c>
    </row>
    <row r="216" spans="1:5" s="7" customFormat="1" ht="19.5" customHeight="1" x14ac:dyDescent="0.3">
      <c r="A216" s="108" t="s">
        <v>419</v>
      </c>
      <c r="B216" s="9">
        <v>7</v>
      </c>
      <c r="C216" s="9">
        <v>12</v>
      </c>
      <c r="D216" s="10">
        <v>9.6527777777777768E-2</v>
      </c>
      <c r="E216" s="10">
        <v>0.63611111111111118</v>
      </c>
    </row>
    <row r="217" spans="1:5" s="7" customFormat="1" ht="19.5" customHeight="1" x14ac:dyDescent="0.3">
      <c r="A217" s="108" t="s">
        <v>480</v>
      </c>
      <c r="B217" s="9">
        <v>2</v>
      </c>
      <c r="C217" s="9">
        <v>12</v>
      </c>
      <c r="D217" s="10">
        <v>0.19097222222222221</v>
      </c>
      <c r="E217" s="10">
        <v>0.93402777777777779</v>
      </c>
    </row>
    <row r="218" spans="1:5" s="7" customFormat="1" ht="19.5" customHeight="1" x14ac:dyDescent="0.3">
      <c r="A218" s="108" t="s">
        <v>520</v>
      </c>
      <c r="B218" s="9">
        <v>2</v>
      </c>
      <c r="C218" s="9">
        <v>12</v>
      </c>
      <c r="D218" s="10">
        <v>5.486111111111111E-2</v>
      </c>
      <c r="E218" s="10">
        <v>0.58472222222222225</v>
      </c>
    </row>
    <row r="219" spans="1:5" s="7" customFormat="1" ht="19.5" customHeight="1" x14ac:dyDescent="0.3">
      <c r="A219" s="108" t="s">
        <v>416</v>
      </c>
      <c r="B219" s="9">
        <v>1</v>
      </c>
      <c r="C219" s="9">
        <v>12</v>
      </c>
      <c r="D219" s="10">
        <v>0</v>
      </c>
      <c r="E219" s="10">
        <v>0.31805555555555554</v>
      </c>
    </row>
    <row r="220" spans="1:5" s="7" customFormat="1" ht="19.5" customHeight="1" x14ac:dyDescent="0.3">
      <c r="A220" s="108" t="s">
        <v>422</v>
      </c>
      <c r="B220" s="9">
        <v>1</v>
      </c>
      <c r="C220" s="9">
        <v>12</v>
      </c>
      <c r="D220" s="10">
        <v>8.3333333333333332E-3</v>
      </c>
      <c r="E220" s="10">
        <v>0.65763888888888888</v>
      </c>
    </row>
    <row r="221" spans="1:5" s="7" customFormat="1" ht="19.5" customHeight="1" x14ac:dyDescent="0.3">
      <c r="A221" s="108" t="s">
        <v>427</v>
      </c>
      <c r="B221" s="9">
        <v>1</v>
      </c>
      <c r="C221" s="9">
        <v>12</v>
      </c>
      <c r="D221" s="10">
        <v>3.472222222222222E-3</v>
      </c>
      <c r="E221" s="10">
        <v>0.92291666666666661</v>
      </c>
    </row>
    <row r="222" spans="1:5" s="7" customFormat="1" ht="19.5" customHeight="1" x14ac:dyDescent="0.3">
      <c r="A222" s="108" t="s">
        <v>417</v>
      </c>
      <c r="B222" s="9">
        <v>3</v>
      </c>
      <c r="C222" s="9">
        <v>11</v>
      </c>
      <c r="D222" s="10">
        <v>2.013888888888889E-2</v>
      </c>
      <c r="E222" s="10">
        <v>0.4236111111111111</v>
      </c>
    </row>
    <row r="223" spans="1:5" s="7" customFormat="1" ht="19.5" customHeight="1" x14ac:dyDescent="0.3">
      <c r="A223" s="108" t="s">
        <v>421</v>
      </c>
      <c r="B223" s="9">
        <v>2</v>
      </c>
      <c r="C223" s="9">
        <v>11</v>
      </c>
      <c r="D223" s="10">
        <v>1.7361111111111112E-2</v>
      </c>
      <c r="E223" s="10">
        <v>0.50208333333333333</v>
      </c>
    </row>
    <row r="224" spans="1:5" s="7" customFormat="1" ht="19.5" customHeight="1" x14ac:dyDescent="0.3">
      <c r="A224" s="108" t="s">
        <v>362</v>
      </c>
      <c r="B224" s="9">
        <v>1</v>
      </c>
      <c r="C224" s="9">
        <v>11</v>
      </c>
      <c r="D224" s="10">
        <v>5.5555555555555552E-2</v>
      </c>
      <c r="E224" s="10">
        <v>1.1263888888888889</v>
      </c>
    </row>
    <row r="225" spans="1:5" s="7" customFormat="1" ht="19.5" customHeight="1" x14ac:dyDescent="0.3">
      <c r="A225" s="108" t="s">
        <v>423</v>
      </c>
      <c r="B225" s="9">
        <v>4</v>
      </c>
      <c r="C225" s="9">
        <v>10</v>
      </c>
      <c r="D225" s="10">
        <v>4.4444444444444446E-2</v>
      </c>
      <c r="E225" s="10">
        <v>0.65833333333333333</v>
      </c>
    </row>
    <row r="226" spans="1:5" s="7" customFormat="1" ht="19.5" customHeight="1" x14ac:dyDescent="0.3">
      <c r="A226" s="108" t="s">
        <v>449</v>
      </c>
      <c r="B226" s="9">
        <v>3</v>
      </c>
      <c r="C226" s="9">
        <v>10</v>
      </c>
      <c r="D226" s="10">
        <v>6.9444444444444434E-2</v>
      </c>
      <c r="E226" s="10">
        <v>0.56041666666666667</v>
      </c>
    </row>
    <row r="227" spans="1:5" s="7" customFormat="1" ht="19.5" customHeight="1" x14ac:dyDescent="0.3">
      <c r="A227" s="108" t="s">
        <v>485</v>
      </c>
      <c r="B227" s="9">
        <v>17</v>
      </c>
      <c r="C227" s="9">
        <v>9</v>
      </c>
      <c r="D227" s="10">
        <v>2.2222222222222223E-2</v>
      </c>
      <c r="E227" s="10">
        <v>0.47500000000000003</v>
      </c>
    </row>
    <row r="228" spans="1:5" s="7" customFormat="1" ht="19.5" customHeight="1" x14ac:dyDescent="0.3">
      <c r="A228" s="108" t="s">
        <v>500</v>
      </c>
      <c r="B228" s="9">
        <v>4</v>
      </c>
      <c r="C228" s="9">
        <v>9</v>
      </c>
      <c r="D228" s="10">
        <v>4.1666666666666666E-3</v>
      </c>
      <c r="E228" s="10">
        <v>0.25625000000000003</v>
      </c>
    </row>
    <row r="229" spans="1:5" s="7" customFormat="1" ht="19.5" customHeight="1" x14ac:dyDescent="0.3">
      <c r="A229" s="108" t="s">
        <v>365</v>
      </c>
      <c r="B229" s="9">
        <v>1</v>
      </c>
      <c r="C229" s="9">
        <v>9</v>
      </c>
      <c r="D229" s="10">
        <v>0.35555555555555557</v>
      </c>
      <c r="E229" s="10">
        <v>0.86458333333333337</v>
      </c>
    </row>
    <row r="230" spans="1:5" s="7" customFormat="1" ht="19.5" customHeight="1" x14ac:dyDescent="0.3">
      <c r="A230" s="108" t="s">
        <v>499</v>
      </c>
      <c r="B230" s="9">
        <v>1</v>
      </c>
      <c r="C230" s="9">
        <v>9</v>
      </c>
      <c r="D230" s="10">
        <v>2.7083333333333334E-2</v>
      </c>
      <c r="E230" s="10">
        <v>0.2951388888888889</v>
      </c>
    </row>
    <row r="231" spans="1:5" s="7" customFormat="1" ht="19.5" customHeight="1" x14ac:dyDescent="0.3">
      <c r="A231" s="108" t="s">
        <v>309</v>
      </c>
      <c r="B231" s="9">
        <v>1</v>
      </c>
      <c r="C231" s="9">
        <v>8</v>
      </c>
      <c r="D231" s="10">
        <v>0.1277777777777778</v>
      </c>
      <c r="E231" s="10">
        <v>0.60555555555555551</v>
      </c>
    </row>
    <row r="232" spans="1:5" s="7" customFormat="1" ht="19.5" customHeight="1" x14ac:dyDescent="0.3">
      <c r="A232" s="108" t="s">
        <v>367</v>
      </c>
      <c r="B232" s="9">
        <v>1</v>
      </c>
      <c r="C232" s="9">
        <v>8</v>
      </c>
      <c r="D232" s="10">
        <v>4.8611111111111112E-3</v>
      </c>
      <c r="E232" s="10">
        <v>1.0513888888888889</v>
      </c>
    </row>
    <row r="233" spans="1:5" s="7" customFormat="1" ht="19.5" customHeight="1" x14ac:dyDescent="0.3">
      <c r="A233" s="108" t="s">
        <v>424</v>
      </c>
      <c r="B233" s="9">
        <v>1</v>
      </c>
      <c r="C233" s="9">
        <v>8</v>
      </c>
      <c r="D233" s="10">
        <v>0.21666666666666667</v>
      </c>
      <c r="E233" s="10">
        <v>0.80069444444444438</v>
      </c>
    </row>
    <row r="234" spans="1:5" s="7" customFormat="1" ht="19.5" customHeight="1" x14ac:dyDescent="0.3">
      <c r="A234" s="108" t="s">
        <v>534</v>
      </c>
      <c r="B234" s="9">
        <v>1</v>
      </c>
      <c r="C234" s="9">
        <v>8</v>
      </c>
      <c r="D234" s="10">
        <v>2.7777777777777779E-3</v>
      </c>
      <c r="E234" s="10">
        <v>0.24791666666666667</v>
      </c>
    </row>
    <row r="235" spans="1:5" s="7" customFormat="1" ht="19.5" customHeight="1" x14ac:dyDescent="0.3">
      <c r="A235" s="108" t="s">
        <v>425</v>
      </c>
      <c r="B235" s="9">
        <v>4</v>
      </c>
      <c r="C235" s="9">
        <v>7</v>
      </c>
      <c r="D235" s="10">
        <v>0.30694444444444441</v>
      </c>
      <c r="E235" s="10">
        <v>0.42986111111111108</v>
      </c>
    </row>
    <row r="236" spans="1:5" s="7" customFormat="1" ht="19.5" customHeight="1" x14ac:dyDescent="0.3">
      <c r="A236" s="108" t="s">
        <v>375</v>
      </c>
      <c r="B236" s="9">
        <v>1</v>
      </c>
      <c r="C236" s="9">
        <v>7</v>
      </c>
      <c r="D236" s="10">
        <v>0.28888888888888892</v>
      </c>
      <c r="E236" s="10">
        <v>0.65763888888888888</v>
      </c>
    </row>
    <row r="237" spans="1:5" s="7" customFormat="1" ht="19.5" customHeight="1" x14ac:dyDescent="0.3">
      <c r="A237" s="108" t="s">
        <v>400</v>
      </c>
      <c r="B237" s="9">
        <v>1</v>
      </c>
      <c r="C237" s="9">
        <v>7</v>
      </c>
      <c r="D237" s="10">
        <v>0.86597222222222225</v>
      </c>
      <c r="E237" s="10">
        <v>0.72638888888888886</v>
      </c>
    </row>
    <row r="238" spans="1:5" s="7" customFormat="1" ht="19.5" customHeight="1" x14ac:dyDescent="0.3">
      <c r="A238" s="108" t="s">
        <v>426</v>
      </c>
      <c r="B238" s="9">
        <v>1</v>
      </c>
      <c r="C238" s="9">
        <v>7</v>
      </c>
      <c r="D238" s="10">
        <v>1.2499999999999999E-2</v>
      </c>
      <c r="E238" s="10">
        <v>0.63750000000000007</v>
      </c>
    </row>
    <row r="239" spans="1:5" s="7" customFormat="1" ht="19.5" customHeight="1" x14ac:dyDescent="0.3">
      <c r="A239" s="108" t="s">
        <v>450</v>
      </c>
      <c r="B239" s="9">
        <v>1</v>
      </c>
      <c r="C239" s="9">
        <v>7</v>
      </c>
      <c r="D239" s="10">
        <v>0.15277777777777776</v>
      </c>
      <c r="E239" s="10">
        <v>0.67152777777777783</v>
      </c>
    </row>
    <row r="240" spans="1:5" s="7" customFormat="1" ht="19.5" customHeight="1" x14ac:dyDescent="0.3">
      <c r="A240" s="108" t="s">
        <v>466</v>
      </c>
      <c r="B240" s="9">
        <v>1</v>
      </c>
      <c r="C240" s="9">
        <v>7</v>
      </c>
      <c r="D240" s="10">
        <v>0.1875</v>
      </c>
      <c r="E240" s="10">
        <v>0.79027777777777775</v>
      </c>
    </row>
    <row r="241" spans="1:5" s="7" customFormat="1" ht="19.5" customHeight="1" x14ac:dyDescent="0.3">
      <c r="A241" s="108" t="s">
        <v>479</v>
      </c>
      <c r="B241" s="9">
        <v>1</v>
      </c>
      <c r="C241" s="9">
        <v>7</v>
      </c>
      <c r="D241" s="10">
        <v>0</v>
      </c>
      <c r="E241" s="10">
        <v>0.44027777777777777</v>
      </c>
    </row>
    <row r="242" spans="1:5" s="7" customFormat="1" ht="19.5" customHeight="1" x14ac:dyDescent="0.3">
      <c r="A242" s="108" t="s">
        <v>518</v>
      </c>
      <c r="B242" s="9">
        <v>2</v>
      </c>
      <c r="C242" s="9">
        <v>6</v>
      </c>
      <c r="D242" s="10">
        <v>4.1666666666666666E-3</v>
      </c>
      <c r="E242" s="10">
        <v>0.54861111111111105</v>
      </c>
    </row>
    <row r="243" spans="1:5" s="7" customFormat="1" ht="19.5" customHeight="1" x14ac:dyDescent="0.3">
      <c r="A243" s="108" t="s">
        <v>451</v>
      </c>
      <c r="B243" s="9">
        <v>1</v>
      </c>
      <c r="C243" s="9">
        <v>6</v>
      </c>
      <c r="D243" s="10">
        <v>2.7777777777777779E-3</v>
      </c>
      <c r="E243" s="10">
        <v>0.80972222222222223</v>
      </c>
    </row>
    <row r="244" spans="1:5" s="7" customFormat="1" ht="19.5" customHeight="1" x14ac:dyDescent="0.3">
      <c r="A244" s="108" t="s">
        <v>458</v>
      </c>
      <c r="B244" s="9">
        <v>3</v>
      </c>
      <c r="C244" s="9">
        <v>3</v>
      </c>
      <c r="D244" s="10">
        <v>6.0416666666666667E-2</v>
      </c>
      <c r="E244" s="10">
        <v>0.21666666666666667</v>
      </c>
    </row>
    <row r="245" spans="1:5" s="7" customFormat="1" ht="19.5" customHeight="1" x14ac:dyDescent="0.3">
      <c r="A245" s="108" t="s">
        <v>457</v>
      </c>
      <c r="B245" s="9">
        <v>2</v>
      </c>
      <c r="C245" s="9">
        <v>2</v>
      </c>
      <c r="D245" s="10">
        <v>3.1944444444444449E-2</v>
      </c>
      <c r="E245" s="10">
        <v>0.59861111111111109</v>
      </c>
    </row>
    <row r="246" spans="1:5" s="7" customFormat="1" ht="19.5" customHeight="1" x14ac:dyDescent="0.3">
      <c r="A246" s="108" t="s">
        <v>498</v>
      </c>
      <c r="B246" s="9">
        <v>6</v>
      </c>
      <c r="C246" s="9">
        <v>0</v>
      </c>
      <c r="D246" s="10">
        <v>0</v>
      </c>
      <c r="E246" s="10">
        <v>0.36319444444444443</v>
      </c>
    </row>
    <row r="247" spans="1:5" s="7" customFormat="1" ht="19.5" customHeight="1" x14ac:dyDescent="0.3">
      <c r="A247" s="108" t="s">
        <v>484</v>
      </c>
      <c r="B247" s="9">
        <v>4</v>
      </c>
      <c r="C247" s="9">
        <v>0</v>
      </c>
      <c r="D247" s="10">
        <v>1.4583333333333332E-2</v>
      </c>
      <c r="E247" s="10">
        <v>0.46458333333333335</v>
      </c>
    </row>
    <row r="248" spans="1:5" s="7" customFormat="1" ht="19.5" customHeight="1" x14ac:dyDescent="0.3">
      <c r="A248" s="108" t="s">
        <v>323</v>
      </c>
      <c r="B248" s="9">
        <v>3</v>
      </c>
      <c r="C248" s="9">
        <v>0</v>
      </c>
      <c r="D248" s="10">
        <v>0.20972222222222223</v>
      </c>
      <c r="E248" s="10">
        <v>0.58750000000000002</v>
      </c>
    </row>
    <row r="249" spans="1:5" s="7" customFormat="1" ht="19.5" customHeight="1" x14ac:dyDescent="0.3">
      <c r="A249" s="108" t="s">
        <v>488</v>
      </c>
      <c r="B249" s="9">
        <v>3</v>
      </c>
      <c r="C249" s="9">
        <v>0</v>
      </c>
      <c r="D249" s="10">
        <v>0</v>
      </c>
      <c r="E249" s="10">
        <v>0.3347222222222222</v>
      </c>
    </row>
    <row r="250" spans="1:5" s="7" customFormat="1" ht="19.5" customHeight="1" x14ac:dyDescent="0.3">
      <c r="A250" s="108" t="s">
        <v>299</v>
      </c>
      <c r="B250" s="9">
        <v>2</v>
      </c>
      <c r="C250" s="9">
        <v>0</v>
      </c>
      <c r="D250" s="10">
        <v>1.1111111111111112E-2</v>
      </c>
      <c r="E250" s="10">
        <v>0.35138888888888892</v>
      </c>
    </row>
    <row r="251" spans="1:5" s="7" customFormat="1" ht="19.5" customHeight="1" x14ac:dyDescent="0.3">
      <c r="A251" s="108" t="s">
        <v>305</v>
      </c>
      <c r="B251" s="9">
        <v>2</v>
      </c>
      <c r="C251" s="9">
        <v>0</v>
      </c>
      <c r="D251" s="10">
        <v>5.9027777777777783E-2</v>
      </c>
      <c r="E251" s="10">
        <v>0.55069444444444449</v>
      </c>
    </row>
    <row r="252" spans="1:5" s="7" customFormat="1" ht="19.5" customHeight="1" x14ac:dyDescent="0.3">
      <c r="A252" s="108" t="s">
        <v>486</v>
      </c>
      <c r="B252" s="9">
        <v>2</v>
      </c>
      <c r="C252" s="9">
        <v>0</v>
      </c>
      <c r="D252" s="10">
        <v>2.7083333333333334E-2</v>
      </c>
      <c r="E252" s="10">
        <v>0.49861111111111112</v>
      </c>
    </row>
    <row r="253" spans="1:5" s="7" customFormat="1" ht="19.5" customHeight="1" x14ac:dyDescent="0.3">
      <c r="A253" s="108" t="s">
        <v>298</v>
      </c>
      <c r="B253" s="9">
        <v>1</v>
      </c>
      <c r="C253" s="9">
        <v>0</v>
      </c>
      <c r="D253" s="10">
        <v>0</v>
      </c>
      <c r="E253" s="10">
        <v>0.48958333333333331</v>
      </c>
    </row>
    <row r="254" spans="1:5" s="7" customFormat="1" ht="19.5" customHeight="1" x14ac:dyDescent="0.3">
      <c r="A254" s="108" t="s">
        <v>300</v>
      </c>
      <c r="B254" s="9">
        <v>1</v>
      </c>
      <c r="C254" s="9">
        <v>0</v>
      </c>
      <c r="D254" s="10">
        <v>1.4583333333333332E-2</v>
      </c>
      <c r="E254" s="10">
        <v>0.17430555555555557</v>
      </c>
    </row>
    <row r="255" spans="1:5" s="7" customFormat="1" ht="19.5" customHeight="1" x14ac:dyDescent="0.3">
      <c r="A255" s="108" t="s">
        <v>301</v>
      </c>
      <c r="B255" s="9">
        <v>1</v>
      </c>
      <c r="C255" s="9">
        <v>0</v>
      </c>
      <c r="D255" s="10">
        <v>0</v>
      </c>
      <c r="E255" s="10">
        <v>0</v>
      </c>
    </row>
    <row r="256" spans="1:5" s="7" customFormat="1" ht="19.5" customHeight="1" x14ac:dyDescent="0.3">
      <c r="A256" s="108" t="s">
        <v>302</v>
      </c>
      <c r="B256" s="9">
        <v>1</v>
      </c>
      <c r="C256" s="9">
        <v>0</v>
      </c>
      <c r="D256" s="10">
        <v>1.1111111111111112E-2</v>
      </c>
      <c r="E256" s="10">
        <v>0.32430555555555557</v>
      </c>
    </row>
    <row r="257" spans="1:5" s="7" customFormat="1" ht="19.5" customHeight="1" x14ac:dyDescent="0.3">
      <c r="A257" s="108" t="s">
        <v>306</v>
      </c>
      <c r="B257" s="9">
        <v>1</v>
      </c>
      <c r="C257" s="9">
        <v>0</v>
      </c>
      <c r="D257" s="10">
        <v>0</v>
      </c>
      <c r="E257" s="10">
        <v>0</v>
      </c>
    </row>
    <row r="258" spans="1:5" s="7" customFormat="1" ht="19.5" customHeight="1" x14ac:dyDescent="0.3">
      <c r="A258" s="108" t="s">
        <v>307</v>
      </c>
      <c r="B258" s="9">
        <v>1</v>
      </c>
      <c r="C258" s="9">
        <v>0</v>
      </c>
      <c r="D258" s="10">
        <v>0</v>
      </c>
      <c r="E258" s="10">
        <v>0</v>
      </c>
    </row>
    <row r="259" spans="1:5" s="7" customFormat="1" ht="19.5" customHeight="1" x14ac:dyDescent="0.3">
      <c r="A259" s="108" t="s">
        <v>311</v>
      </c>
      <c r="B259" s="9">
        <v>1</v>
      </c>
      <c r="C259" s="9">
        <v>0</v>
      </c>
      <c r="D259" s="10">
        <v>8.819444444444445E-2</v>
      </c>
      <c r="E259" s="10">
        <v>0.81319444444444444</v>
      </c>
    </row>
    <row r="260" spans="1:5" s="7" customFormat="1" ht="19.5" customHeight="1" x14ac:dyDescent="0.3">
      <c r="A260" s="108" t="s">
        <v>312</v>
      </c>
      <c r="B260" s="9">
        <v>1</v>
      </c>
      <c r="C260" s="9">
        <v>0</v>
      </c>
      <c r="D260" s="10">
        <v>0</v>
      </c>
      <c r="E260" s="10">
        <v>0</v>
      </c>
    </row>
    <row r="261" spans="1:5" s="7" customFormat="1" ht="19.5" customHeight="1" x14ac:dyDescent="0.3">
      <c r="A261" s="108" t="s">
        <v>314</v>
      </c>
      <c r="B261" s="9">
        <v>1</v>
      </c>
      <c r="C261" s="9">
        <v>0</v>
      </c>
      <c r="D261" s="10">
        <v>3.472222222222222E-3</v>
      </c>
      <c r="E261" s="10">
        <v>0.27638888888888885</v>
      </c>
    </row>
    <row r="262" spans="1:5" s="7" customFormat="1" ht="19.5" customHeight="1" x14ac:dyDescent="0.3">
      <c r="A262" s="108" t="s">
        <v>316</v>
      </c>
      <c r="B262" s="9">
        <v>1</v>
      </c>
      <c r="C262" s="9">
        <v>0</v>
      </c>
      <c r="D262" s="10">
        <v>6.7361111111111108E-2</v>
      </c>
      <c r="E262" s="10">
        <v>0.50277777777777777</v>
      </c>
    </row>
    <row r="263" spans="1:5" s="7" customFormat="1" ht="19.5" customHeight="1" x14ac:dyDescent="0.3">
      <c r="A263" s="108" t="s">
        <v>320</v>
      </c>
      <c r="B263" s="9">
        <v>1</v>
      </c>
      <c r="C263" s="9">
        <v>0</v>
      </c>
      <c r="D263" s="10">
        <v>7.2222222222222229E-2</v>
      </c>
      <c r="E263" s="10">
        <v>0.3923611111111111</v>
      </c>
    </row>
    <row r="264" spans="1:5" s="7" customFormat="1" ht="19.5" customHeight="1" x14ac:dyDescent="0.3">
      <c r="A264" s="108" t="s">
        <v>322</v>
      </c>
      <c r="B264" s="9">
        <v>1</v>
      </c>
      <c r="C264" s="9">
        <v>0</v>
      </c>
      <c r="D264" s="10">
        <v>0.36944444444444446</v>
      </c>
      <c r="E264" s="10">
        <v>0.32916666666666666</v>
      </c>
    </row>
    <row r="265" spans="1:5" s="7" customFormat="1" ht="19.5" customHeight="1" x14ac:dyDescent="0.3">
      <c r="A265" s="108" t="s">
        <v>326</v>
      </c>
      <c r="B265" s="9">
        <v>1</v>
      </c>
      <c r="C265" s="9">
        <v>0</v>
      </c>
      <c r="D265" s="10">
        <v>0</v>
      </c>
      <c r="E265" s="10">
        <v>0.72638888888888886</v>
      </c>
    </row>
    <row r="266" spans="1:5" s="7" customFormat="1" ht="19.5" customHeight="1" x14ac:dyDescent="0.3">
      <c r="A266" s="108" t="s">
        <v>329</v>
      </c>
      <c r="B266" s="9">
        <v>1</v>
      </c>
      <c r="C266" s="9">
        <v>0</v>
      </c>
      <c r="D266" s="10">
        <v>0</v>
      </c>
      <c r="E266" s="10">
        <v>0.48125000000000001</v>
      </c>
    </row>
    <row r="267" spans="1:5" s="7" customFormat="1" ht="19.5" customHeight="1" x14ac:dyDescent="0.3">
      <c r="A267" s="108" t="s">
        <v>388</v>
      </c>
      <c r="B267" s="9">
        <v>1</v>
      </c>
      <c r="C267" s="9">
        <v>0</v>
      </c>
      <c r="D267" s="10">
        <v>0</v>
      </c>
      <c r="E267" s="10">
        <v>0.70208333333333339</v>
      </c>
    </row>
    <row r="268" spans="1:5" s="7" customFormat="1" ht="19.5" customHeight="1" x14ac:dyDescent="0.3">
      <c r="A268" s="108" t="s">
        <v>392</v>
      </c>
      <c r="B268" s="9">
        <v>1</v>
      </c>
      <c r="C268" s="9">
        <v>0</v>
      </c>
      <c r="D268" s="10">
        <v>0</v>
      </c>
      <c r="E268" s="10">
        <v>0.22152777777777777</v>
      </c>
    </row>
    <row r="269" spans="1:5" s="7" customFormat="1" ht="19.5" customHeight="1" x14ac:dyDescent="0.3">
      <c r="A269" s="108" t="s">
        <v>396</v>
      </c>
      <c r="B269" s="9">
        <v>1</v>
      </c>
      <c r="C269" s="9">
        <v>0</v>
      </c>
      <c r="D269" s="10">
        <v>0.1111111111111111</v>
      </c>
      <c r="E269" s="10">
        <v>0.73888888888888893</v>
      </c>
    </row>
    <row r="270" spans="1:5" s="7" customFormat="1" ht="19.5" customHeight="1" x14ac:dyDescent="0.3">
      <c r="A270" s="108" t="s">
        <v>399</v>
      </c>
      <c r="B270" s="9">
        <v>1</v>
      </c>
      <c r="C270" s="9">
        <v>0</v>
      </c>
      <c r="D270" s="10">
        <v>5.2777777777777778E-2</v>
      </c>
      <c r="E270" s="10">
        <v>0.81319444444444444</v>
      </c>
    </row>
    <row r="271" spans="1:5" s="7" customFormat="1" ht="19.5" customHeight="1" x14ac:dyDescent="0.3">
      <c r="A271" s="108" t="s">
        <v>437</v>
      </c>
      <c r="B271" s="9">
        <v>1</v>
      </c>
      <c r="C271" s="9">
        <v>0</v>
      </c>
      <c r="D271" s="10">
        <v>4.027777777777778E-2</v>
      </c>
      <c r="E271" s="10">
        <v>0.95347222222222217</v>
      </c>
    </row>
    <row r="272" spans="1:5" s="7" customFormat="1" ht="19.5" customHeight="1" x14ac:dyDescent="0.3">
      <c r="A272" s="108" t="s">
        <v>439</v>
      </c>
      <c r="B272" s="9">
        <v>1</v>
      </c>
      <c r="C272" s="9">
        <v>0</v>
      </c>
      <c r="D272" s="10">
        <v>0</v>
      </c>
      <c r="E272" s="10">
        <v>0</v>
      </c>
    </row>
    <row r="273" spans="1:5" s="7" customFormat="1" ht="19.5" customHeight="1" x14ac:dyDescent="0.3">
      <c r="A273" s="108" t="s">
        <v>442</v>
      </c>
      <c r="B273" s="9">
        <v>1</v>
      </c>
      <c r="C273" s="9">
        <v>0</v>
      </c>
      <c r="D273" s="10">
        <v>1.3881944444444445</v>
      </c>
      <c r="E273" s="10">
        <v>0.15694444444444444</v>
      </c>
    </row>
    <row r="274" spans="1:5" s="7" customFormat="1" ht="19.5" customHeight="1" x14ac:dyDescent="0.3">
      <c r="A274" s="108" t="s">
        <v>445</v>
      </c>
      <c r="B274" s="9">
        <v>1</v>
      </c>
      <c r="C274" s="9">
        <v>0</v>
      </c>
      <c r="D274" s="10">
        <v>9.5833333333333326E-2</v>
      </c>
      <c r="E274" s="10">
        <v>0.58263888888888882</v>
      </c>
    </row>
    <row r="275" spans="1:5" s="7" customFormat="1" ht="19.5" customHeight="1" x14ac:dyDescent="0.3">
      <c r="A275" s="108" t="s">
        <v>448</v>
      </c>
      <c r="B275" s="9">
        <v>1</v>
      </c>
      <c r="C275" s="9">
        <v>0</v>
      </c>
      <c r="D275" s="10">
        <v>1.7083333333333333</v>
      </c>
      <c r="E275" s="10">
        <v>0.40486111111111112</v>
      </c>
    </row>
    <row r="276" spans="1:5" s="7" customFormat="1" ht="19.5" customHeight="1" x14ac:dyDescent="0.3">
      <c r="A276" s="108" t="s">
        <v>454</v>
      </c>
      <c r="B276" s="9">
        <v>1</v>
      </c>
      <c r="C276" s="9">
        <v>0</v>
      </c>
      <c r="D276" s="10">
        <v>6.458333333333334E-2</v>
      </c>
      <c r="E276" s="10">
        <v>0.38958333333333334</v>
      </c>
    </row>
    <row r="277" spans="1:5" s="7" customFormat="1" ht="19.5" customHeight="1" x14ac:dyDescent="0.3">
      <c r="A277" s="108" t="s">
        <v>460</v>
      </c>
      <c r="B277" s="9">
        <v>1</v>
      </c>
      <c r="C277" s="9">
        <v>0</v>
      </c>
      <c r="D277" s="10">
        <v>0.18958333333333333</v>
      </c>
      <c r="E277" s="10">
        <v>0.66249999999999998</v>
      </c>
    </row>
  </sheetData>
  <sheetProtection insertColumns="0" insertRows="0" deleteColumns="0" deleteRows="0" autoFilter="0"/>
  <autoFilter ref="A1:E42" xr:uid="{8B8B07B1-D814-459D-A1FA-1274B1CF6241}">
    <sortState xmlns:xlrd2="http://schemas.microsoft.com/office/spreadsheetml/2017/richdata2" ref="A2:E277">
      <sortCondition descending="1" ref="C1:C42"/>
    </sortState>
  </autoFilter>
  <conditionalFormatting sqref="C2:C277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2:D277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2:E277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rintOptions horizontalCentered="1"/>
  <pageMargins left="0.25" right="0.25" top="0.75" bottom="0.75" header="0.3" footer="0.3"/>
  <pageSetup scale="53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343649-9EE4-45C5-A085-F625DFF2C2FB}">
  <sheetPr>
    <tabColor theme="4"/>
    <pageSetUpPr fitToPage="1"/>
  </sheetPr>
  <dimension ref="A1:P31"/>
  <sheetViews>
    <sheetView showGridLines="0" tabSelected="1" topLeftCell="B16" zoomScaleNormal="100" workbookViewId="0">
      <selection activeCell="K24" sqref="K24"/>
    </sheetView>
  </sheetViews>
  <sheetFormatPr defaultRowHeight="19.5" customHeight="1" x14ac:dyDescent="0.55000000000000004"/>
  <cols>
    <col min="1" max="1" width="8.21875" style="59" hidden="1" customWidth="1"/>
    <col min="2" max="2" width="17.44140625" style="59" customWidth="1"/>
    <col min="3" max="3" width="33" style="59" bestFit="1" customWidth="1"/>
    <col min="4" max="4" width="28.21875" style="59" hidden="1" customWidth="1"/>
    <col min="5" max="5" width="33.21875" style="59" customWidth="1"/>
    <col min="6" max="6" width="16.77734375" style="62" bestFit="1" customWidth="1"/>
    <col min="7" max="7" width="18.44140625" style="62" bestFit="1" customWidth="1"/>
    <col min="8" max="16384" width="8.88671875" style="59"/>
  </cols>
  <sheetData>
    <row r="1" spans="1:16" s="57" customFormat="1" ht="19.5" customHeight="1" x14ac:dyDescent="0.25">
      <c r="A1" s="42" t="s">
        <v>60</v>
      </c>
      <c r="B1" s="67" t="s">
        <v>72</v>
      </c>
      <c r="C1" s="68" t="s">
        <v>61</v>
      </c>
      <c r="D1" s="68" t="s">
        <v>62</v>
      </c>
      <c r="E1" s="68" t="s">
        <v>63</v>
      </c>
      <c r="F1" s="69" t="s">
        <v>73</v>
      </c>
      <c r="G1" s="69" t="s">
        <v>64</v>
      </c>
      <c r="H1" s="55"/>
      <c r="I1" s="55"/>
      <c r="J1" s="55"/>
      <c r="K1" s="55"/>
      <c r="L1" s="55"/>
      <c r="M1" s="55"/>
      <c r="N1" s="55"/>
      <c r="O1" s="56"/>
      <c r="P1" s="56"/>
    </row>
    <row r="2" spans="1:16" s="58" customFormat="1" ht="19.5" customHeight="1" x14ac:dyDescent="0.55000000000000004">
      <c r="A2" s="43">
        <v>5099</v>
      </c>
      <c r="B2" s="45" t="s">
        <v>25</v>
      </c>
      <c r="C2" s="45" t="s">
        <v>26</v>
      </c>
      <c r="D2" s="45" t="s">
        <v>2</v>
      </c>
      <c r="E2" s="45" t="s">
        <v>27</v>
      </c>
      <c r="F2" s="60">
        <v>287</v>
      </c>
      <c r="G2" s="60">
        <v>287</v>
      </c>
    </row>
    <row r="3" spans="1:16" s="58" customFormat="1" ht="19.5" customHeight="1" x14ac:dyDescent="0.55000000000000004">
      <c r="A3" s="44">
        <v>5644</v>
      </c>
      <c r="B3" s="46" t="s">
        <v>28</v>
      </c>
      <c r="C3" s="46" t="s">
        <v>29</v>
      </c>
      <c r="D3" s="46" t="s">
        <v>7</v>
      </c>
      <c r="E3" s="46" t="s">
        <v>23</v>
      </c>
      <c r="F3" s="61">
        <v>213</v>
      </c>
      <c r="G3" s="61">
        <v>177</v>
      </c>
    </row>
    <row r="4" spans="1:16" s="58" customFormat="1" ht="19.5" customHeight="1" x14ac:dyDescent="0.55000000000000004">
      <c r="A4" s="44">
        <v>107998</v>
      </c>
      <c r="B4" s="46" t="s">
        <v>30</v>
      </c>
      <c r="C4" s="46" t="s">
        <v>31</v>
      </c>
      <c r="D4" s="46" t="s">
        <v>32</v>
      </c>
      <c r="E4" s="46" t="s">
        <v>32</v>
      </c>
      <c r="F4" s="61">
        <v>177</v>
      </c>
      <c r="G4" s="61">
        <v>177</v>
      </c>
    </row>
    <row r="5" spans="1:16" s="58" customFormat="1" ht="19.5" customHeight="1" x14ac:dyDescent="0.55000000000000004">
      <c r="A5" s="44">
        <v>5342</v>
      </c>
      <c r="B5" s="46" t="s">
        <v>74</v>
      </c>
      <c r="C5" s="46" t="s">
        <v>56</v>
      </c>
      <c r="D5" s="46" t="s">
        <v>11</v>
      </c>
      <c r="E5" s="46" t="s">
        <v>57</v>
      </c>
      <c r="F5" s="61">
        <v>172</v>
      </c>
      <c r="G5" s="61">
        <v>109</v>
      </c>
    </row>
    <row r="6" spans="1:16" s="58" customFormat="1" ht="19.5" customHeight="1" x14ac:dyDescent="0.55000000000000004">
      <c r="A6" s="44">
        <v>108035</v>
      </c>
      <c r="B6" s="46" t="s">
        <v>33</v>
      </c>
      <c r="C6" s="46" t="s">
        <v>34</v>
      </c>
      <c r="D6" s="46" t="s">
        <v>35</v>
      </c>
      <c r="E6" s="46" t="s">
        <v>32</v>
      </c>
      <c r="F6" s="61">
        <v>172</v>
      </c>
      <c r="G6" s="61">
        <v>179</v>
      </c>
    </row>
    <row r="7" spans="1:16" s="58" customFormat="1" ht="19.5" customHeight="1" x14ac:dyDescent="0.55000000000000004">
      <c r="A7" s="44">
        <v>5420</v>
      </c>
      <c r="B7" s="46" t="s">
        <v>36</v>
      </c>
      <c r="C7" s="46" t="s">
        <v>37</v>
      </c>
      <c r="D7" s="46" t="s">
        <v>4</v>
      </c>
      <c r="E7" s="46" t="s">
        <v>10</v>
      </c>
      <c r="F7" s="61">
        <v>164</v>
      </c>
      <c r="G7" s="61">
        <v>109</v>
      </c>
    </row>
    <row r="8" spans="1:16" s="58" customFormat="1" ht="19.5" customHeight="1" x14ac:dyDescent="0.55000000000000004">
      <c r="A8" s="44">
        <v>1715129</v>
      </c>
      <c r="B8" s="46" t="s">
        <v>75</v>
      </c>
      <c r="C8" s="46" t="s">
        <v>38</v>
      </c>
      <c r="D8" s="46" t="s">
        <v>69</v>
      </c>
      <c r="E8" s="46" t="s">
        <v>76</v>
      </c>
      <c r="F8" s="61">
        <v>155</v>
      </c>
      <c r="G8" s="61">
        <v>51</v>
      </c>
    </row>
    <row r="9" spans="1:16" s="58" customFormat="1" ht="19.5" customHeight="1" x14ac:dyDescent="0.55000000000000004">
      <c r="A9" s="44">
        <v>6574</v>
      </c>
      <c r="B9" s="46" t="s">
        <v>77</v>
      </c>
      <c r="C9" s="46" t="s">
        <v>53</v>
      </c>
      <c r="D9" s="46" t="s">
        <v>15</v>
      </c>
      <c r="E9" s="46" t="s">
        <v>15</v>
      </c>
      <c r="F9" s="61">
        <v>153</v>
      </c>
      <c r="G9" s="61">
        <v>109</v>
      </c>
    </row>
    <row r="10" spans="1:16" s="58" customFormat="1" ht="19.5" customHeight="1" x14ac:dyDescent="0.55000000000000004">
      <c r="A10" s="44">
        <v>5638</v>
      </c>
      <c r="B10" s="46" t="s">
        <v>41</v>
      </c>
      <c r="C10" s="46" t="s">
        <v>42</v>
      </c>
      <c r="D10" s="46" t="s">
        <v>43</v>
      </c>
      <c r="E10" s="46" t="s">
        <v>43</v>
      </c>
      <c r="F10" s="61">
        <v>151</v>
      </c>
      <c r="G10" s="61">
        <v>160</v>
      </c>
    </row>
    <row r="11" spans="1:16" s="58" customFormat="1" ht="19.5" customHeight="1" x14ac:dyDescent="0.55000000000000004">
      <c r="A11" s="44">
        <v>1515328</v>
      </c>
      <c r="B11" s="46" t="s">
        <v>105</v>
      </c>
      <c r="C11" s="46" t="s">
        <v>47</v>
      </c>
      <c r="D11" s="46" t="s">
        <v>3</v>
      </c>
      <c r="E11" s="46" t="s">
        <v>3</v>
      </c>
      <c r="F11" s="61">
        <v>147</v>
      </c>
      <c r="G11" s="61">
        <v>118</v>
      </c>
    </row>
    <row r="12" spans="1:16" s="58" customFormat="1" ht="19.5" customHeight="1" x14ac:dyDescent="0.55000000000000004">
      <c r="A12" s="44">
        <v>607911</v>
      </c>
      <c r="B12" s="46" t="s">
        <v>78</v>
      </c>
      <c r="C12" s="46" t="s">
        <v>40</v>
      </c>
      <c r="D12" s="46" t="s">
        <v>20</v>
      </c>
      <c r="E12" s="46" t="s">
        <v>14</v>
      </c>
      <c r="F12" s="61">
        <v>147</v>
      </c>
      <c r="G12" s="61">
        <v>111</v>
      </c>
    </row>
    <row r="13" spans="1:16" s="58" customFormat="1" ht="19.5" customHeight="1" x14ac:dyDescent="0.55000000000000004">
      <c r="A13" s="44">
        <v>106019</v>
      </c>
      <c r="B13" s="46" t="s">
        <v>79</v>
      </c>
      <c r="C13" s="46" t="s">
        <v>80</v>
      </c>
      <c r="D13" s="46" t="s">
        <v>81</v>
      </c>
      <c r="E13" s="46" t="s">
        <v>81</v>
      </c>
      <c r="F13" s="61">
        <v>146</v>
      </c>
      <c r="G13" s="61">
        <v>78</v>
      </c>
    </row>
    <row r="14" spans="1:16" s="58" customFormat="1" ht="19.5" customHeight="1" x14ac:dyDescent="0.55000000000000004">
      <c r="A14" s="44">
        <v>1615036</v>
      </c>
      <c r="B14" s="46" t="s">
        <v>52</v>
      </c>
      <c r="C14" s="46" t="s">
        <v>53</v>
      </c>
      <c r="D14" s="46" t="s">
        <v>15</v>
      </c>
      <c r="E14" s="46" t="s">
        <v>15</v>
      </c>
      <c r="F14" s="61">
        <v>145</v>
      </c>
      <c r="G14" s="61">
        <v>139</v>
      </c>
    </row>
    <row r="15" spans="1:16" s="58" customFormat="1" ht="19.5" customHeight="1" x14ac:dyDescent="0.55000000000000004">
      <c r="A15" s="44">
        <v>1116191</v>
      </c>
      <c r="B15" s="46" t="s">
        <v>70</v>
      </c>
      <c r="C15" s="46" t="s">
        <v>71</v>
      </c>
      <c r="D15" s="46" t="s">
        <v>5</v>
      </c>
      <c r="E15" s="46" t="s">
        <v>18</v>
      </c>
      <c r="F15" s="61">
        <v>143</v>
      </c>
      <c r="G15" s="61">
        <v>94</v>
      </c>
    </row>
    <row r="16" spans="1:16" s="58" customFormat="1" ht="19.5" customHeight="1" x14ac:dyDescent="0.55000000000000004">
      <c r="A16" s="44">
        <v>1116478</v>
      </c>
      <c r="B16" s="46" t="s">
        <v>48</v>
      </c>
      <c r="C16" s="46" t="s">
        <v>49</v>
      </c>
      <c r="D16" s="46" t="s">
        <v>18</v>
      </c>
      <c r="E16" s="46" t="s">
        <v>18</v>
      </c>
      <c r="F16" s="61">
        <v>141</v>
      </c>
      <c r="G16" s="61">
        <v>126</v>
      </c>
    </row>
    <row r="17" spans="1:7" s="58" customFormat="1" ht="19.5" customHeight="1" x14ac:dyDescent="0.55000000000000004">
      <c r="A17" s="44">
        <v>1116403</v>
      </c>
      <c r="B17" s="46" t="s">
        <v>82</v>
      </c>
      <c r="C17" s="46" t="s">
        <v>54</v>
      </c>
      <c r="D17" s="46" t="s">
        <v>9</v>
      </c>
      <c r="E17" s="46" t="s">
        <v>16</v>
      </c>
      <c r="F17" s="61">
        <v>137</v>
      </c>
      <c r="G17" s="61">
        <v>115</v>
      </c>
    </row>
    <row r="18" spans="1:7" s="58" customFormat="1" ht="19.5" customHeight="1" x14ac:dyDescent="0.55000000000000004">
      <c r="A18" s="44">
        <v>1715110</v>
      </c>
      <c r="B18" s="46" t="s">
        <v>83</v>
      </c>
      <c r="C18" s="46" t="s">
        <v>84</v>
      </c>
      <c r="D18" s="46" t="s">
        <v>0</v>
      </c>
      <c r="E18" s="46" t="s">
        <v>65</v>
      </c>
      <c r="F18" s="61">
        <v>136</v>
      </c>
      <c r="G18" s="61">
        <v>81</v>
      </c>
    </row>
    <row r="19" spans="1:7" s="58" customFormat="1" ht="19.5" customHeight="1" x14ac:dyDescent="0.55000000000000004">
      <c r="A19" s="44">
        <v>605216</v>
      </c>
      <c r="B19" s="46" t="s">
        <v>85</v>
      </c>
      <c r="C19" s="46" t="s">
        <v>38</v>
      </c>
      <c r="D19" s="46" t="s">
        <v>86</v>
      </c>
      <c r="E19" s="46" t="s">
        <v>87</v>
      </c>
      <c r="F19" s="61">
        <v>134</v>
      </c>
      <c r="G19" s="61">
        <v>96</v>
      </c>
    </row>
    <row r="20" spans="1:7" s="58" customFormat="1" ht="19.5" customHeight="1" x14ac:dyDescent="0.55000000000000004">
      <c r="A20" s="44">
        <v>108008</v>
      </c>
      <c r="B20" s="46" t="s">
        <v>44</v>
      </c>
      <c r="C20" s="46" t="s">
        <v>45</v>
      </c>
      <c r="D20" s="46" t="s">
        <v>46</v>
      </c>
      <c r="E20" s="46" t="s">
        <v>46</v>
      </c>
      <c r="F20" s="61">
        <v>134</v>
      </c>
      <c r="G20" s="61">
        <v>114</v>
      </c>
    </row>
    <row r="21" spans="1:7" s="58" customFormat="1" ht="19.5" customHeight="1" x14ac:dyDescent="0.55000000000000004">
      <c r="A21" s="44">
        <v>1415357</v>
      </c>
      <c r="B21" s="46" t="s">
        <v>88</v>
      </c>
      <c r="C21" s="46" t="s">
        <v>38</v>
      </c>
      <c r="D21" s="46" t="s">
        <v>24</v>
      </c>
      <c r="E21" s="46" t="s">
        <v>89</v>
      </c>
      <c r="F21" s="61">
        <v>133</v>
      </c>
      <c r="G21" s="61">
        <v>90</v>
      </c>
    </row>
    <row r="22" spans="1:7" s="58" customFormat="1" ht="19.5" customHeight="1" x14ac:dyDescent="0.55000000000000004">
      <c r="A22" s="44">
        <v>1116181</v>
      </c>
      <c r="B22" s="46" t="s">
        <v>90</v>
      </c>
      <c r="C22" s="46" t="s">
        <v>38</v>
      </c>
      <c r="D22" s="46" t="s">
        <v>39</v>
      </c>
      <c r="E22" s="46" t="s">
        <v>91</v>
      </c>
      <c r="F22" s="61">
        <v>131</v>
      </c>
      <c r="G22" s="61">
        <v>75</v>
      </c>
    </row>
    <row r="23" spans="1:7" s="58" customFormat="1" ht="19.5" customHeight="1" x14ac:dyDescent="0.55000000000000004">
      <c r="A23" s="44">
        <v>108078</v>
      </c>
      <c r="B23" s="46" t="s">
        <v>92</v>
      </c>
      <c r="C23" s="46" t="s">
        <v>68</v>
      </c>
      <c r="D23" s="46" t="s">
        <v>66</v>
      </c>
      <c r="E23" s="46" t="s">
        <v>66</v>
      </c>
      <c r="F23" s="61">
        <v>129</v>
      </c>
      <c r="G23" s="61">
        <v>97</v>
      </c>
    </row>
    <row r="24" spans="1:7" s="58" customFormat="1" ht="19.5" customHeight="1" x14ac:dyDescent="0.55000000000000004">
      <c r="A24" s="44">
        <v>105217</v>
      </c>
      <c r="B24" s="46" t="s">
        <v>93</v>
      </c>
      <c r="C24" s="46" t="s">
        <v>94</v>
      </c>
      <c r="D24" s="46" t="s">
        <v>22</v>
      </c>
      <c r="E24" s="46" t="s">
        <v>22</v>
      </c>
      <c r="F24" s="61">
        <v>128</v>
      </c>
      <c r="G24" s="61">
        <v>116</v>
      </c>
    </row>
    <row r="25" spans="1:7" s="58" customFormat="1" ht="19.5" customHeight="1" x14ac:dyDescent="0.55000000000000004">
      <c r="A25" s="44">
        <v>1115077</v>
      </c>
      <c r="B25" s="46" t="s">
        <v>95</v>
      </c>
      <c r="C25" s="46" t="s">
        <v>96</v>
      </c>
      <c r="D25" s="46" t="s">
        <v>5</v>
      </c>
      <c r="E25" s="46" t="s">
        <v>39</v>
      </c>
      <c r="F25" s="61">
        <v>128</v>
      </c>
      <c r="G25" s="61">
        <v>110</v>
      </c>
    </row>
    <row r="26" spans="1:7" s="58" customFormat="1" ht="19.5" customHeight="1" x14ac:dyDescent="0.55000000000000004">
      <c r="A26" s="44">
        <v>606756</v>
      </c>
      <c r="B26" s="46" t="s">
        <v>50</v>
      </c>
      <c r="C26" s="46" t="s">
        <v>51</v>
      </c>
      <c r="D26" s="46" t="s">
        <v>1</v>
      </c>
      <c r="E26" s="46" t="s">
        <v>17</v>
      </c>
      <c r="F26" s="61">
        <v>127</v>
      </c>
      <c r="G26" s="61">
        <v>127</v>
      </c>
    </row>
    <row r="27" spans="1:7" s="58" customFormat="1" ht="19.5" customHeight="1" x14ac:dyDescent="0.55000000000000004">
      <c r="A27" s="44">
        <v>6380</v>
      </c>
      <c r="B27" s="46" t="s">
        <v>97</v>
      </c>
      <c r="C27" s="46" t="s">
        <v>55</v>
      </c>
      <c r="D27" s="46" t="s">
        <v>13</v>
      </c>
      <c r="E27" s="46" t="s">
        <v>13</v>
      </c>
      <c r="F27" s="61">
        <v>126</v>
      </c>
      <c r="G27" s="61">
        <v>90</v>
      </c>
    </row>
    <row r="28" spans="1:7" s="58" customFormat="1" ht="19.5" customHeight="1" x14ac:dyDescent="0.55000000000000004">
      <c r="A28" s="44">
        <v>6549</v>
      </c>
      <c r="B28" s="46" t="s">
        <v>58</v>
      </c>
      <c r="C28" s="46" t="s">
        <v>59</v>
      </c>
      <c r="D28" s="46" t="s">
        <v>6</v>
      </c>
      <c r="E28" s="46" t="s">
        <v>21</v>
      </c>
      <c r="F28" s="61">
        <v>124</v>
      </c>
      <c r="G28" s="61">
        <v>118</v>
      </c>
    </row>
    <row r="29" spans="1:7" s="58" customFormat="1" ht="19.5" customHeight="1" x14ac:dyDescent="0.55000000000000004">
      <c r="A29" s="44">
        <v>505168</v>
      </c>
      <c r="B29" s="46" t="s">
        <v>98</v>
      </c>
      <c r="C29" s="46" t="s">
        <v>38</v>
      </c>
      <c r="D29" s="46" t="s">
        <v>8</v>
      </c>
      <c r="E29" s="46" t="s">
        <v>12</v>
      </c>
      <c r="F29" s="61">
        <v>124</v>
      </c>
      <c r="G29" s="61">
        <v>108</v>
      </c>
    </row>
    <row r="30" spans="1:7" s="58" customFormat="1" ht="19.5" customHeight="1" x14ac:dyDescent="0.55000000000000004">
      <c r="A30" s="44">
        <v>305856</v>
      </c>
      <c r="B30" s="46" t="s">
        <v>99</v>
      </c>
      <c r="C30" s="46" t="s">
        <v>38</v>
      </c>
      <c r="D30" s="46" t="s">
        <v>100</v>
      </c>
      <c r="E30" s="46" t="s">
        <v>19</v>
      </c>
      <c r="F30" s="61">
        <v>124</v>
      </c>
      <c r="G30" s="61">
        <v>84</v>
      </c>
    </row>
    <row r="31" spans="1:7" s="58" customFormat="1" ht="19.5" customHeight="1" x14ac:dyDescent="0.55000000000000004">
      <c r="A31" s="44">
        <v>107108</v>
      </c>
      <c r="B31" s="46" t="s">
        <v>101</v>
      </c>
      <c r="C31" s="46" t="s">
        <v>40</v>
      </c>
      <c r="D31" s="46" t="s">
        <v>102</v>
      </c>
      <c r="E31" s="46" t="s">
        <v>103</v>
      </c>
      <c r="F31" s="61">
        <v>124</v>
      </c>
      <c r="G31" s="61">
        <v>103</v>
      </c>
    </row>
  </sheetData>
  <sheetProtection insertColumns="0" insertRows="0" deleteColumns="0" deleteRows="0" autoFilter="0"/>
  <conditionalFormatting sqref="F2:F31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2:G3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rintOptions horizontalCentered="1"/>
  <pageMargins left="0.25" right="0.25" top="0.75" bottom="0.75" header="0.3" footer="0.3"/>
  <pageSetup scale="53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EA163834-1C88-47D2-BA43-B20D2E99A1A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میانگین District</vt:lpstr>
      <vt:lpstr>بیشینه اضافه کاری فروشگاهها</vt:lpstr>
      <vt:lpstr>بیشینه اضافه کاری انبارها</vt:lpstr>
      <vt:lpstr>میانگین انبارها</vt:lpstr>
      <vt:lpstr>میانگین سمت ها</vt:lpstr>
      <vt:lpstr>بیشینه اضافه کاری ستادها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hadi sayyar</dc:creator>
  <cp:keywords/>
  <cp:lastModifiedBy>hadi sayyar</cp:lastModifiedBy>
  <dcterms:created xsi:type="dcterms:W3CDTF">2015-01-13T09:06:49Z</dcterms:created>
  <dcterms:modified xsi:type="dcterms:W3CDTF">2023-10-15T06:34:52Z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TC037839219991</vt:lpwstr>
  </property>
</Properties>
</file>