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erformance Management\artifact\"/>
    </mc:Choice>
  </mc:AlternateContent>
  <xr:revisionPtr revIDLastSave="0" documentId="13_ncr:1_{4EABC87B-9763-4277-BDD2-8DCCF2FC53B9}" xr6:coauthVersionLast="47" xr6:coauthVersionMax="47" xr10:uidLastSave="{00000000-0000-0000-0000-000000000000}"/>
  <bookViews>
    <workbookView xWindow="28680" yWindow="2640" windowWidth="24240" windowHeight="13020" xr2:uid="{AE00A885-F526-4B1F-835C-3312347E8804}"/>
  </bookViews>
  <sheets>
    <sheet name="Sheet1" sheetId="1" r:id="rId1"/>
    <sheet name="منظر" sheetId="2" r:id="rId2"/>
    <sheet name="استراتژی" sheetId="3" r:id="rId3"/>
    <sheet name="دپارتمان" sheetId="4" r:id="rId4"/>
    <sheet name="واحد سنجش" sheetId="5" r:id="rId5"/>
  </sheets>
  <definedNames>
    <definedName name="_xlnm._FilterDatabase" localSheetId="0" hidden="1">Sheet1!$A$1:$G$264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81" i="1" l="1"/>
  <c r="J281" i="1"/>
  <c r="I281" i="1"/>
  <c r="H281" i="1"/>
  <c r="K280" i="1"/>
  <c r="J280" i="1"/>
  <c r="I280" i="1"/>
  <c r="H280" i="1"/>
  <c r="K279" i="1"/>
  <c r="J279" i="1"/>
  <c r="I279" i="1"/>
  <c r="H279" i="1"/>
  <c r="K278" i="1"/>
  <c r="J278" i="1"/>
  <c r="I278" i="1"/>
  <c r="H278" i="1"/>
  <c r="K277" i="1"/>
  <c r="J277" i="1"/>
  <c r="I277" i="1"/>
  <c r="H277" i="1"/>
  <c r="I270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I265" i="1"/>
  <c r="I266" i="1"/>
  <c r="I267" i="1"/>
  <c r="I268" i="1"/>
  <c r="I269" i="1"/>
  <c r="I271" i="1"/>
  <c r="I272" i="1"/>
  <c r="I273" i="1"/>
  <c r="I274" i="1"/>
  <c r="I275" i="1"/>
  <c r="I276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" i="1"/>
</calcChain>
</file>

<file path=xl/sharedStrings.xml><?xml version="1.0" encoding="utf-8"?>
<sst xmlns="http://schemas.openxmlformats.org/spreadsheetml/2006/main" count="2083" uniqueCount="675">
  <si>
    <t>strategy</t>
  </si>
  <si>
    <t>direction</t>
  </si>
  <si>
    <t>kpi</t>
  </si>
  <si>
    <t>department</t>
  </si>
  <si>
    <t>vision</t>
  </si>
  <si>
    <t>unit</t>
  </si>
  <si>
    <t>OVERVIEW</t>
  </si>
  <si>
    <t>دسترس پذیری بهینه کالاها</t>
  </si>
  <si>
    <t>صعودي</t>
  </si>
  <si>
    <t>کیفیت موجودی</t>
  </si>
  <si>
    <t>زنجیره تامین</t>
  </si>
  <si>
    <t>فرآیندهای داخلی</t>
  </si>
  <si>
    <t>درصد</t>
  </si>
  <si>
    <t>G1</t>
  </si>
  <si>
    <t>بهینه سازی هزینه ها</t>
  </si>
  <si>
    <t>تثبيتي</t>
  </si>
  <si>
    <t>رفاهیات</t>
  </si>
  <si>
    <t>منابع انسانی</t>
  </si>
  <si>
    <t>میلیون ریال</t>
  </si>
  <si>
    <t>G10</t>
  </si>
  <si>
    <t>افزایش سهم بازار</t>
  </si>
  <si>
    <t>Acquisition (درصد جذب مشتریان)</t>
  </si>
  <si>
    <t>بازاریابی</t>
  </si>
  <si>
    <t>مشتری</t>
  </si>
  <si>
    <t>G1001</t>
  </si>
  <si>
    <t>بهبود تجربه مشتری</t>
  </si>
  <si>
    <t>NPS</t>
  </si>
  <si>
    <t>G1002</t>
  </si>
  <si>
    <t>Retention (درصد نگهداشت مشتریان)</t>
  </si>
  <si>
    <t>G1003</t>
  </si>
  <si>
    <t>ادراک مشتری از کامل بودن سبد</t>
  </si>
  <si>
    <t>G1004</t>
  </si>
  <si>
    <t>درصد رشد متوسط ریالی خرید مشتریان وفادار نسبت به دوره قبل</t>
  </si>
  <si>
    <t>G1005</t>
  </si>
  <si>
    <t>بهبود تصویر برند</t>
  </si>
  <si>
    <t>درصد مقبولیت برند افق در ذهن مخاطبین</t>
  </si>
  <si>
    <t>عدد</t>
  </si>
  <si>
    <t>G1006</t>
  </si>
  <si>
    <t>رضایت مشتری</t>
  </si>
  <si>
    <t>G1007</t>
  </si>
  <si>
    <t>کیفیت پاسخ گویی به مشتریان</t>
  </si>
  <si>
    <t>G1008</t>
  </si>
  <si>
    <t>کیفیت فضای فروشگاه</t>
  </si>
  <si>
    <t>G1009</t>
  </si>
  <si>
    <t>متوسط تعداد اقلام فاکتور</t>
  </si>
  <si>
    <t>G1010</t>
  </si>
  <si>
    <t>متوسط تعداد فاکتور</t>
  </si>
  <si>
    <t>G1011</t>
  </si>
  <si>
    <t>متوسط سطر فاکتور</t>
  </si>
  <si>
    <t>G1012</t>
  </si>
  <si>
    <t>متوسط مبلغ فاکتور</t>
  </si>
  <si>
    <t>میلیارد ریال</t>
  </si>
  <si>
    <t>G1013</t>
  </si>
  <si>
    <t>نزولي</t>
  </si>
  <si>
    <t>هزینه مارکتینگ ستاد</t>
  </si>
  <si>
    <t>میلیون تومان</t>
  </si>
  <si>
    <t>G1014</t>
  </si>
  <si>
    <t>رعایت حداقل موجودی هر SKU در سطح انبارها</t>
  </si>
  <si>
    <t>G11</t>
  </si>
  <si>
    <t>بهبود سیستم و تکنولوژی</t>
  </si>
  <si>
    <t>Active Directory Availability</t>
  </si>
  <si>
    <t>زیرساخت</t>
  </si>
  <si>
    <t>رشد و یادگیری</t>
  </si>
  <si>
    <t>G1101</t>
  </si>
  <si>
    <t>Antivirus Deployment</t>
  </si>
  <si>
    <t>G1102</t>
  </si>
  <si>
    <t>Critical Services Availability</t>
  </si>
  <si>
    <t>G1103</t>
  </si>
  <si>
    <t>Data Restore success rate</t>
  </si>
  <si>
    <t>G1104</t>
  </si>
  <si>
    <t>Datacenter Availability</t>
  </si>
  <si>
    <t>G1105</t>
  </si>
  <si>
    <t>Desktop Central Availability</t>
  </si>
  <si>
    <t>G1106</t>
  </si>
  <si>
    <t>Exchange Availability</t>
  </si>
  <si>
    <t>G1107</t>
  </si>
  <si>
    <t>Internet Availability</t>
  </si>
  <si>
    <t>G1108</t>
  </si>
  <si>
    <t>Mean time between failure (MTBF)</t>
  </si>
  <si>
    <t>ساعت</t>
  </si>
  <si>
    <t>G1109</t>
  </si>
  <si>
    <t>Network Availability</t>
  </si>
  <si>
    <t>G1110</t>
  </si>
  <si>
    <t>NOC Availability</t>
  </si>
  <si>
    <t>G1111</t>
  </si>
  <si>
    <t>number of closed vulnerabilities</t>
  </si>
  <si>
    <t>G1112</t>
  </si>
  <si>
    <t>OS Patch success rate</t>
  </si>
  <si>
    <t>G1113</t>
  </si>
  <si>
    <t>Pass SLA rate (SDP, ICT ticketing)</t>
  </si>
  <si>
    <t>G1114</t>
  </si>
  <si>
    <t>Servers Availability</t>
  </si>
  <si>
    <t>G1115</t>
  </si>
  <si>
    <t>Skype Availability</t>
  </si>
  <si>
    <t>G1116</t>
  </si>
  <si>
    <t>Splunk Availability</t>
  </si>
  <si>
    <t>G1117</t>
  </si>
  <si>
    <t>VOIP Availability</t>
  </si>
  <si>
    <t>G1118</t>
  </si>
  <si>
    <t>Vulnerabilities Assessment</t>
  </si>
  <si>
    <t>G1119</t>
  </si>
  <si>
    <t>Mean time to Repair (MTTR)</t>
  </si>
  <si>
    <t>G1120</t>
  </si>
  <si>
    <t>هزینه ارتباطات</t>
  </si>
  <si>
    <t>G1121</t>
  </si>
  <si>
    <t>بهره وری</t>
  </si>
  <si>
    <t>درصد سود خالص به فروش خالص</t>
  </si>
  <si>
    <t>مالی</t>
  </si>
  <si>
    <t>G12</t>
  </si>
  <si>
    <t>مجموع هزينه‌هاي ثابت</t>
  </si>
  <si>
    <t>شرکت</t>
  </si>
  <si>
    <t>G1201</t>
  </si>
  <si>
    <t>هزینه تبلیغات صدا و سیما</t>
  </si>
  <si>
    <t>G1202</t>
  </si>
  <si>
    <t>درآمدهای عملیاتی</t>
  </si>
  <si>
    <t>مجموع فروش خالص تناژی</t>
  </si>
  <si>
    <t>تن</t>
  </si>
  <si>
    <t>G1203</t>
  </si>
  <si>
    <t>بهبود رابطه با ذینفعان</t>
  </si>
  <si>
    <t>درصد رعایت دراپ سایز ورودی</t>
  </si>
  <si>
    <t>G13</t>
  </si>
  <si>
    <t>کسری/سرک انبارگردانی (با احتساب ضایعات) انبار</t>
  </si>
  <si>
    <t>عملیات زنجیره تامین</t>
  </si>
  <si>
    <t>G1301</t>
  </si>
  <si>
    <t>درصد اقلام راکد 60</t>
  </si>
  <si>
    <t>G14</t>
  </si>
  <si>
    <t>کوروش کارت مناطق</t>
  </si>
  <si>
    <t>فروش سازمانی</t>
  </si>
  <si>
    <t>میلیارد تومان</t>
  </si>
  <si>
    <t>G1401</t>
  </si>
  <si>
    <t>کوروش کارت ستاد</t>
  </si>
  <si>
    <t>G1402</t>
  </si>
  <si>
    <t>فروش انبوه کالا</t>
  </si>
  <si>
    <t>G1403</t>
  </si>
  <si>
    <t>فارا (کالابرگ)</t>
  </si>
  <si>
    <t>G1404</t>
  </si>
  <si>
    <t>تارا</t>
  </si>
  <si>
    <t>G1405</t>
  </si>
  <si>
    <t>صندوق بازنشستگی</t>
  </si>
  <si>
    <t>G1406</t>
  </si>
  <si>
    <t>فروش انبوه سورنا</t>
  </si>
  <si>
    <t>G1407</t>
  </si>
  <si>
    <t>کش بک</t>
  </si>
  <si>
    <t>G1408</t>
  </si>
  <si>
    <t>کارمزد فروش سازمانی</t>
  </si>
  <si>
    <t>G1409</t>
  </si>
  <si>
    <t>درصد اقلام راکد 120</t>
  </si>
  <si>
    <t>G15</t>
  </si>
  <si>
    <t>درصد ارسال بار کف چین به فروشگاه ها</t>
  </si>
  <si>
    <t>G16</t>
  </si>
  <si>
    <t>درخواست پرداخت غیرتجاری واحدها</t>
  </si>
  <si>
    <t>G1601</t>
  </si>
  <si>
    <t>پرداخت حق العمل</t>
  </si>
  <si>
    <t>روز</t>
  </si>
  <si>
    <t>G1602</t>
  </si>
  <si>
    <t>پرداخت حقوق و پاداش</t>
  </si>
  <si>
    <t>G1603</t>
  </si>
  <si>
    <t>پرداخت راننده ها</t>
  </si>
  <si>
    <t>G1604</t>
  </si>
  <si>
    <t>کنترل سطح نقدینگی و مانده بانک</t>
  </si>
  <si>
    <t>G1605</t>
  </si>
  <si>
    <t>مبلغ درآمدهای مالی طبق استاندارد (بودجه)</t>
  </si>
  <si>
    <t>G1606</t>
  </si>
  <si>
    <t>خالص دوره پرداخت پس از گردش موجودی</t>
  </si>
  <si>
    <t>G1607</t>
  </si>
  <si>
    <t>هزینه مالیات</t>
  </si>
  <si>
    <t>G1608</t>
  </si>
  <si>
    <t>داده محور شدن سازمان</t>
  </si>
  <si>
    <t>سرعت تهیه صورت های مالی</t>
  </si>
  <si>
    <t>G1609</t>
  </si>
  <si>
    <t>سرعت تهیه گزارشات تحلیل هزینه ها</t>
  </si>
  <si>
    <t>G1610</t>
  </si>
  <si>
    <t>سرعت تهیه گزارشات قانونی (بیمه و مالیات)</t>
  </si>
  <si>
    <t>G1611</t>
  </si>
  <si>
    <t>درآمدهای سرمایه گذاری</t>
  </si>
  <si>
    <t>بازده سرمایه گذاری بلند مدت</t>
  </si>
  <si>
    <t>G1612</t>
  </si>
  <si>
    <t>بازده سرمایه گذاری کوتاه مدت</t>
  </si>
  <si>
    <t>G1613</t>
  </si>
  <si>
    <t>درآمدهای نقدینگی</t>
  </si>
  <si>
    <t>G1614</t>
  </si>
  <si>
    <t>سایر درآمدهای عملیاتی</t>
  </si>
  <si>
    <t>سایر درآمدها و هزینه های غیرعملیاتی روند وجوه</t>
  </si>
  <si>
    <t>G1615</t>
  </si>
  <si>
    <t>افزایش تعهد، تعلق و رضایت سرمایه انسانی</t>
  </si>
  <si>
    <t>اضافه کار ماهانه تیم فروش</t>
  </si>
  <si>
    <t>G1701</t>
  </si>
  <si>
    <t>درصد رعایت آف هفتگی انبار</t>
  </si>
  <si>
    <t>G1702</t>
  </si>
  <si>
    <t>درصد رعایت آف هفتگی فروشگاه</t>
  </si>
  <si>
    <t>G1703</t>
  </si>
  <si>
    <t>سرانه حضور</t>
  </si>
  <si>
    <t>G1704</t>
  </si>
  <si>
    <t>مرخصی استفاده شده</t>
  </si>
  <si>
    <t>G1705</t>
  </si>
  <si>
    <t>ارزیابی رفتاری سوپروایزرها</t>
  </si>
  <si>
    <t>G1706</t>
  </si>
  <si>
    <t>نرخ ارتقا از درون سازمان</t>
  </si>
  <si>
    <t>G1707</t>
  </si>
  <si>
    <t>نرخ جذب استعداد</t>
  </si>
  <si>
    <t>G1708</t>
  </si>
  <si>
    <t>نمره تعلق سالانه</t>
  </si>
  <si>
    <t>G1709</t>
  </si>
  <si>
    <t>نمره تعهد سالانه</t>
  </si>
  <si>
    <t>G1710</t>
  </si>
  <si>
    <t>نمره رضایت سالانه</t>
  </si>
  <si>
    <t>G1711</t>
  </si>
  <si>
    <t>تعداد شکایات اداره کار</t>
  </si>
  <si>
    <t>G1712</t>
  </si>
  <si>
    <t>کمبود نیروی انسانی انبار</t>
  </si>
  <si>
    <t>G1713</t>
  </si>
  <si>
    <t>کمبود نیروی انسانی فروشگاه</t>
  </si>
  <si>
    <t>G1714</t>
  </si>
  <si>
    <t>مدت زمان تسویه حساب پرسنل ستادی/انباری</t>
  </si>
  <si>
    <t>G1715</t>
  </si>
  <si>
    <t>مدت زمان تسویه حساب پرسنل فروشگاهی</t>
  </si>
  <si>
    <t>G1716</t>
  </si>
  <si>
    <t>نرخ خروج انبار</t>
  </si>
  <si>
    <t>G1717</t>
  </si>
  <si>
    <t>نرخ خروج ستاد مرکزی</t>
  </si>
  <si>
    <t>G1718</t>
  </si>
  <si>
    <t>نرخ خروج ستاد مناطق</t>
  </si>
  <si>
    <t>G1719</t>
  </si>
  <si>
    <t>نرخ خروج فروشگاه</t>
  </si>
  <si>
    <t>G1720</t>
  </si>
  <si>
    <t>نرخ خروج نیروهای زیر 6ماه استخدام انبار</t>
  </si>
  <si>
    <t>G1721</t>
  </si>
  <si>
    <t>نرخ خروج نیروهای زیر 6ماه استخدام ستاد مرکزی</t>
  </si>
  <si>
    <t>G1722</t>
  </si>
  <si>
    <t>نرخ خروج نیروهای زیر 6ماه استخدام ستاد مناطق</t>
  </si>
  <si>
    <t>G1723</t>
  </si>
  <si>
    <t>نرخ خروج نیروهای زیر 6ماه استخدام فروشگاه</t>
  </si>
  <si>
    <t>G1724</t>
  </si>
  <si>
    <t>رضایت از رفتار پرسنل</t>
  </si>
  <si>
    <t>G1725</t>
  </si>
  <si>
    <t>سرانه هزینه ستاد مرکزی</t>
  </si>
  <si>
    <t>G1726</t>
  </si>
  <si>
    <t>حقوق و دستمزد</t>
  </si>
  <si>
    <t>G1728</t>
  </si>
  <si>
    <t>سرانه هزینه ستاد مناطق</t>
  </si>
  <si>
    <t>G1729</t>
  </si>
  <si>
    <t>هزینه بازخرید خدمت</t>
  </si>
  <si>
    <t>G1730</t>
  </si>
  <si>
    <t>هزینه جرائم تأمین اجتماعی</t>
  </si>
  <si>
    <t>G1731</t>
  </si>
  <si>
    <t>توسعه شایستگی­ها و فرهنگ نوآوری</t>
  </si>
  <si>
    <t>سرانه آموزش انبار</t>
  </si>
  <si>
    <t>G1732</t>
  </si>
  <si>
    <t>سرانه آموزش ستاد</t>
  </si>
  <si>
    <t>G1733</t>
  </si>
  <si>
    <t>سرانه آموزش فروشگاه</t>
  </si>
  <si>
    <t>G1734</t>
  </si>
  <si>
    <t>سرانه آموزش مدیران</t>
  </si>
  <si>
    <t>G1735</t>
  </si>
  <si>
    <t>مدیریت ریسک</t>
  </si>
  <si>
    <t>میزان حوادث انبار</t>
  </si>
  <si>
    <t>G1736</t>
  </si>
  <si>
    <t>میزان حوادث ناشی از عملیات لجستیک</t>
  </si>
  <si>
    <t>G1737</t>
  </si>
  <si>
    <t>نرخ حوادث</t>
  </si>
  <si>
    <t>G1738</t>
  </si>
  <si>
    <t>مطابقت فرآیندها با استانداردها</t>
  </si>
  <si>
    <t>انطباق با ساختار سازمانی مصوب</t>
  </si>
  <si>
    <t>G1739</t>
  </si>
  <si>
    <t>درآمدهای تبلیغاتی (تابلو و مش)</t>
  </si>
  <si>
    <t>بازرگانی</t>
  </si>
  <si>
    <t>G18</t>
  </si>
  <si>
    <t>کسری/سرک انبارگردانی (با احتساب ضایعات) فروشگاه</t>
  </si>
  <si>
    <t>مناطق</t>
  </si>
  <si>
    <t>G1801</t>
  </si>
  <si>
    <t>هزینه مارکتینگ مناطق</t>
  </si>
  <si>
    <t>G1802</t>
  </si>
  <si>
    <t>کفایت موجودی</t>
  </si>
  <si>
    <t>G2</t>
  </si>
  <si>
    <t>درصد تایید بودجه روی پورتال توسط تامین کنندگان</t>
  </si>
  <si>
    <t>G2001</t>
  </si>
  <si>
    <t>دقت برنامه ریزی ترویجات</t>
  </si>
  <si>
    <t>G2002</t>
  </si>
  <si>
    <t>دقت برنامه ریزی مارژین</t>
  </si>
  <si>
    <t>G2004</t>
  </si>
  <si>
    <t>سرویس لول(درصد ارسال مقداری SKU تامین کننده به مینیمم بودجه و درخواست)</t>
  </si>
  <si>
    <t>G2005</t>
  </si>
  <si>
    <t>نسبت بودجه تایید شده توسط تامین کننده</t>
  </si>
  <si>
    <t>G2006</t>
  </si>
  <si>
    <t>تعداد کالاهای اسپات</t>
  </si>
  <si>
    <t>G2007</t>
  </si>
  <si>
    <t>تعداد گروه کالای اسپات</t>
  </si>
  <si>
    <t>G2008</t>
  </si>
  <si>
    <t>درآمد پلتفرم</t>
  </si>
  <si>
    <t>G2009</t>
  </si>
  <si>
    <t>درآمد تبلیغات</t>
  </si>
  <si>
    <t>G2010</t>
  </si>
  <si>
    <t>درآمد تحقق هدف به فروش</t>
  </si>
  <si>
    <t>G2011</t>
  </si>
  <si>
    <t>درآمد تخلیه به فروش</t>
  </si>
  <si>
    <t>G2012</t>
  </si>
  <si>
    <t>درآمد ضایعات به فروش</t>
  </si>
  <si>
    <t>G2013</t>
  </si>
  <si>
    <t>درآمد فروش اطلاعات و خدمات پرتال به فروش</t>
  </si>
  <si>
    <t>G2014</t>
  </si>
  <si>
    <t>درآمد کیسه و پاکت به فروش</t>
  </si>
  <si>
    <t>G2015</t>
  </si>
  <si>
    <t>درآمدهای تبلیغاتی (تبلیغات محیطی)</t>
  </si>
  <si>
    <t>G2016</t>
  </si>
  <si>
    <t>درآمدهای تبلیغاتی (دیجیتال مارکتینگ)</t>
  </si>
  <si>
    <t>G2017</t>
  </si>
  <si>
    <t>درصد استفاده شده از پتانسیل تبلیغاتی</t>
  </si>
  <si>
    <t>G2018</t>
  </si>
  <si>
    <t>نسبت درآمدهای تبلیغاتی به مجموع درآمد شرکت</t>
  </si>
  <si>
    <t>G2019</t>
  </si>
  <si>
    <t>حقوق و دستمزد ثابت</t>
  </si>
  <si>
    <t>G21</t>
  </si>
  <si>
    <t>حق العمل کاری</t>
  </si>
  <si>
    <t>توسعه فرانچایز</t>
  </si>
  <si>
    <t>G22</t>
  </si>
  <si>
    <t>توازن درخواست ها</t>
  </si>
  <si>
    <t>G23</t>
  </si>
  <si>
    <t>تنوع کالاهای فعال</t>
  </si>
  <si>
    <t>G24</t>
  </si>
  <si>
    <t>پرداخت اجاره</t>
  </si>
  <si>
    <t>G25</t>
  </si>
  <si>
    <t>پاسخگویی به تیکت ها مطابق با استاندارد زمانی</t>
  </si>
  <si>
    <t>بهبود عملیات فروشگاهی</t>
  </si>
  <si>
    <t>G26</t>
  </si>
  <si>
    <t>البسه کارکنان</t>
  </si>
  <si>
    <t>G27</t>
  </si>
  <si>
    <t>بیمه آتش سوزی و حوادث</t>
  </si>
  <si>
    <t>G28</t>
  </si>
  <si>
    <t>پشتیبانی گلرنگ سیستم</t>
  </si>
  <si>
    <t>G29</t>
  </si>
  <si>
    <t>کارمزد مشارکت اکالا</t>
  </si>
  <si>
    <t>فروش غیرحضوری</t>
  </si>
  <si>
    <t>G3</t>
  </si>
  <si>
    <t>انطباق ورود بار با پرسنل موردنیاز</t>
  </si>
  <si>
    <t>G3001</t>
  </si>
  <si>
    <t>زمان انتظار صندوق</t>
  </si>
  <si>
    <t>دقیقه</t>
  </si>
  <si>
    <t>G3002</t>
  </si>
  <si>
    <t>نمره شلف لیبل</t>
  </si>
  <si>
    <t>G3003</t>
  </si>
  <si>
    <t>وضعیت دمای فروشگاه</t>
  </si>
  <si>
    <t>G3004</t>
  </si>
  <si>
    <t>تشکیل صف در فروشگاه</t>
  </si>
  <si>
    <t>G3005</t>
  </si>
  <si>
    <t>بررسی مشکل نمای فروشگاه با پردازش تصویر</t>
  </si>
  <si>
    <t>G3006</t>
  </si>
  <si>
    <t>نبودن بار اضافی در فروشگاه ها به صورت فیزیکی</t>
  </si>
  <si>
    <t>G3007</t>
  </si>
  <si>
    <t>درصد پاسخگویی به تلفن ها</t>
  </si>
  <si>
    <t>G3008</t>
  </si>
  <si>
    <t>سرعت پاسخگویی به تیکت های فروشگاهی</t>
  </si>
  <si>
    <t>G3009</t>
  </si>
  <si>
    <t>زمان پاسخگویی پیمانکاران به درخواست های جمع آوری کارتن</t>
  </si>
  <si>
    <t>G3010</t>
  </si>
  <si>
    <t>افزایش بهروری پرسنل فروشگاهی</t>
  </si>
  <si>
    <t>G3011</t>
  </si>
  <si>
    <t>تحقیق توسعه (جویا بهنود)</t>
  </si>
  <si>
    <t>G3012</t>
  </si>
  <si>
    <t>سیستمی نمودن پارامترهای فضای فروشگاهی</t>
  </si>
  <si>
    <t>G3013</t>
  </si>
  <si>
    <t>پالت چرخدار موجود در فروشگاه</t>
  </si>
  <si>
    <t>G3014</t>
  </si>
  <si>
    <t>وجود بافر در فروشگاه</t>
  </si>
  <si>
    <t>G3015</t>
  </si>
  <si>
    <t>زمان رسیدگی به تخلفات</t>
  </si>
  <si>
    <t>G3016</t>
  </si>
  <si>
    <t>درصد پوشش فرآیندهای درون فروشگاهی</t>
  </si>
  <si>
    <t>G3017</t>
  </si>
  <si>
    <t>کاهش تکرار تخلفات فروشگاهی</t>
  </si>
  <si>
    <t>G3018</t>
  </si>
  <si>
    <t>جمع آوری به موقع آخال در فروشگاه</t>
  </si>
  <si>
    <t>G3019</t>
  </si>
  <si>
    <t>سرعت رفع خرابی های سیستم پایش</t>
  </si>
  <si>
    <t>G3020</t>
  </si>
  <si>
    <t>جرائم</t>
  </si>
  <si>
    <t>G31</t>
  </si>
  <si>
    <t>درآمد فروش اینترنتی</t>
  </si>
  <si>
    <t>G32</t>
  </si>
  <si>
    <t>درآمد های فروش اموال</t>
  </si>
  <si>
    <t>G33</t>
  </si>
  <si>
    <t>درآمدهای تبلیغاتی (استند)</t>
  </si>
  <si>
    <t>G34</t>
  </si>
  <si>
    <t>درآمدهای تبلیغاتی (سرلاین)</t>
  </si>
  <si>
    <t>G35</t>
  </si>
  <si>
    <t>G36</t>
  </si>
  <si>
    <t>درصد تخفیف</t>
  </si>
  <si>
    <t>G37</t>
  </si>
  <si>
    <t>ذخیره احتیاطی</t>
  </si>
  <si>
    <t>G38</t>
  </si>
  <si>
    <t>رول و کیسه و پاکت</t>
  </si>
  <si>
    <t>G39</t>
  </si>
  <si>
    <t>هزینه برق</t>
  </si>
  <si>
    <t>تجهیز</t>
  </si>
  <si>
    <t>G4</t>
  </si>
  <si>
    <t>سایر درآمدها و هزینه های مالی (متفرقه-غرفه-atm-ضایعات و..)</t>
  </si>
  <si>
    <t>G40</t>
  </si>
  <si>
    <t>سرعت پاسخگویی به درخواست تعمیرات</t>
  </si>
  <si>
    <t>G4001</t>
  </si>
  <si>
    <t>سرعت اجرای ریدیزاین</t>
  </si>
  <si>
    <t>G4002</t>
  </si>
  <si>
    <t>سرعت راه اندازی فروشگاه</t>
  </si>
  <si>
    <t>G4003</t>
  </si>
  <si>
    <t>متوسط هزینه تجهیز هر فروشگاه</t>
  </si>
  <si>
    <t>G4004</t>
  </si>
  <si>
    <t>متوسط هزینه تعمیر و نگهداری (هر شعبه در ماه)</t>
  </si>
  <si>
    <t>G4005</t>
  </si>
  <si>
    <t>میزان مصرف انرژی</t>
  </si>
  <si>
    <t>کیلووات ساعت</t>
  </si>
  <si>
    <t>G4006</t>
  </si>
  <si>
    <t>هزینه تجهیز یک متر مربع فروشگاه</t>
  </si>
  <si>
    <t>G4007</t>
  </si>
  <si>
    <t>فروش آخال و نایلکس</t>
  </si>
  <si>
    <t>G4008</t>
  </si>
  <si>
    <t>نرخ فروش کارتن</t>
  </si>
  <si>
    <t>ریال</t>
  </si>
  <si>
    <t>G4009</t>
  </si>
  <si>
    <t>نرخ فروش نایلکس</t>
  </si>
  <si>
    <t>G4010</t>
  </si>
  <si>
    <t>وزن آخال به فروش</t>
  </si>
  <si>
    <t>G4011</t>
  </si>
  <si>
    <t>مدیریت دارایی ها</t>
  </si>
  <si>
    <t>ماندگاری اقلام انبارهای فنی</t>
  </si>
  <si>
    <t>G4012</t>
  </si>
  <si>
    <t>کیفیت سطح خدمات تجهیز</t>
  </si>
  <si>
    <t>G4013</t>
  </si>
  <si>
    <t>میزان موجودی انبارهای فنی</t>
  </si>
  <si>
    <t>G4014</t>
  </si>
  <si>
    <t>سایر هزینه های ثابت</t>
  </si>
  <si>
    <t>G41</t>
  </si>
  <si>
    <t>سایر هزینه های مدیریتی</t>
  </si>
  <si>
    <t>G42</t>
  </si>
  <si>
    <t>فروش ناخالص</t>
  </si>
  <si>
    <t>G43</t>
  </si>
  <si>
    <t>مجموع فروش خالص</t>
  </si>
  <si>
    <t>G46</t>
  </si>
  <si>
    <t>مجموع هزينه‌هاي متغیر</t>
  </si>
  <si>
    <t>G47</t>
  </si>
  <si>
    <t>هزینه اجاره</t>
  </si>
  <si>
    <t>G49</t>
  </si>
  <si>
    <t>هزینه استهلاک</t>
  </si>
  <si>
    <t>G50</t>
  </si>
  <si>
    <t>تعداد گزارشات ارسالی</t>
  </si>
  <si>
    <t>تحلیل داده، نظارت و ارزیابی</t>
  </si>
  <si>
    <t>G5001</t>
  </si>
  <si>
    <t>تعداد گزارشات سیستمی</t>
  </si>
  <si>
    <t>G5002</t>
  </si>
  <si>
    <t>سرانه آموزش تیم فروش</t>
  </si>
  <si>
    <t>G5003</t>
  </si>
  <si>
    <t>خطای پیش بینی فروش (سطح 4 گروه کالا)</t>
  </si>
  <si>
    <t>G5004</t>
  </si>
  <si>
    <t>خطای پیش بینی فروش (کل فروش)</t>
  </si>
  <si>
    <t>G5005</t>
  </si>
  <si>
    <t>هزینه بیمه تکمیلی و مسئولیت</t>
  </si>
  <si>
    <t>G51</t>
  </si>
  <si>
    <t>هزینه حسابرسی</t>
  </si>
  <si>
    <t>G52</t>
  </si>
  <si>
    <t>هزینهvat</t>
  </si>
  <si>
    <t>G53</t>
  </si>
  <si>
    <t>تناژ صادره به ازای نفر ساعت</t>
  </si>
  <si>
    <t>G54</t>
  </si>
  <si>
    <t>جذب نیرو مطابق با پیش بینی گردش انبار</t>
  </si>
  <si>
    <t>G55</t>
  </si>
  <si>
    <t>درصد ارسال در زمان مطلوب بار به فروشگاه ها</t>
  </si>
  <si>
    <t>G56</t>
  </si>
  <si>
    <t>درصد بهبود نمره بازرسی</t>
  </si>
  <si>
    <t>G57</t>
  </si>
  <si>
    <t>درصد پرداخت مرتبط با ارزیابی عملکرد</t>
  </si>
  <si>
    <t>G58</t>
  </si>
  <si>
    <t>مازاد بار ماشین</t>
  </si>
  <si>
    <t>G59</t>
  </si>
  <si>
    <t>مانده مارژین ریالی</t>
  </si>
  <si>
    <t>G6</t>
  </si>
  <si>
    <t>میزان اضافه کار غیرمجاز انبارها</t>
  </si>
  <si>
    <t>G60</t>
  </si>
  <si>
    <t>تعداد دفعات تست بکاپ‌های گرفته شده</t>
  </si>
  <si>
    <t>تحول دیجیتال</t>
  </si>
  <si>
    <t>G6001</t>
  </si>
  <si>
    <t>تست نفوذ نرم افزارها</t>
  </si>
  <si>
    <t>G6002</t>
  </si>
  <si>
    <t>تعداد پلتفرم‌های مختلف تکنولوژی</t>
  </si>
  <si>
    <t>G6003</t>
  </si>
  <si>
    <t>تعداد فرایندهای منطبق با PCF</t>
  </si>
  <si>
    <t>G6004</t>
  </si>
  <si>
    <t>تعداد فیچرهای جدید AX</t>
  </si>
  <si>
    <t>G6005</t>
  </si>
  <si>
    <t>درصد اسناد دستی مالی اتوماتیک شده</t>
  </si>
  <si>
    <t>G6006</t>
  </si>
  <si>
    <t>درصد مشکلات ریشه یابی شده</t>
  </si>
  <si>
    <t>G6007</t>
  </si>
  <si>
    <t>مدت زمان وصل بودن فروشگاه</t>
  </si>
  <si>
    <t>G6008</t>
  </si>
  <si>
    <t>میانگین تعداد روز آموزش برای پرسنل عملیاتی</t>
  </si>
  <si>
    <t>G6009</t>
  </si>
  <si>
    <t>میانگین زمان بازیابی اطلاعات</t>
  </si>
  <si>
    <t>G6010</t>
  </si>
  <si>
    <t>میانگین مدت بستن مشکل</t>
  </si>
  <si>
    <t>G6011</t>
  </si>
  <si>
    <t>هزینه مصرف کاغذ</t>
  </si>
  <si>
    <t>G6012</t>
  </si>
  <si>
    <t>تعداد دوره های آموزش های واحد تحول دیجیتال در سامان</t>
  </si>
  <si>
    <t>G6013</t>
  </si>
  <si>
    <t>نفر ساعت</t>
  </si>
  <si>
    <t>G6014</t>
  </si>
  <si>
    <t>کاهش نفر ساعت ناشی از اجرای پروژه های سیستمی</t>
  </si>
  <si>
    <t>G6015</t>
  </si>
  <si>
    <t>نرخ خروج پرسنل انبار</t>
  </si>
  <si>
    <t>G61</t>
  </si>
  <si>
    <t>نسبت اجاره انبار به فروش</t>
  </si>
  <si>
    <t>G62</t>
  </si>
  <si>
    <t>هزینه ماشین آلات انبار به تناژ خروجی (به ازای هر کیلو)</t>
  </si>
  <si>
    <t>G63</t>
  </si>
  <si>
    <t>هزینه های لجستیک به فروش</t>
  </si>
  <si>
    <t>G64</t>
  </si>
  <si>
    <t>کمبود بار ماشین</t>
  </si>
  <si>
    <t>G65</t>
  </si>
  <si>
    <t>درصد تحقق بودجه سطح 4 با در نظر گرفتن نوسانات تامین و پیش بینی فروش</t>
  </si>
  <si>
    <t>G66</t>
  </si>
  <si>
    <t>مازاد موجودی</t>
  </si>
  <si>
    <t>G67</t>
  </si>
  <si>
    <t>متوسط سطر فاکتور فروش اینترنتی (LPO)</t>
  </si>
  <si>
    <t>G68</t>
  </si>
  <si>
    <t>برگشت مشتری</t>
  </si>
  <si>
    <t>G69</t>
  </si>
  <si>
    <t>ماندگاری</t>
  </si>
  <si>
    <t>G7</t>
  </si>
  <si>
    <t>تاخیر جورچینی فروش اینترنتی</t>
  </si>
  <si>
    <t>G70</t>
  </si>
  <si>
    <t>افزایش دسترس پذیری</t>
  </si>
  <si>
    <t>دسترسی مشتریان به فروشگاه/تحقق پلن توسعه</t>
  </si>
  <si>
    <t>G7001</t>
  </si>
  <si>
    <t>تعداد فروشگاه‌های زیان ده برای فرانچایزی با زیان بالای 10درصد</t>
  </si>
  <si>
    <t>G7002</t>
  </si>
  <si>
    <t>تعداد فروشگاه‌های زیان ده برای فرانچایزی با زیان بین 1 تا 2 درصد</t>
  </si>
  <si>
    <t>G7003</t>
  </si>
  <si>
    <t>تعداد فروشگاه‌های زیان ده برای فرانچایزی با زیان بین 2 تا 5 درصد</t>
  </si>
  <si>
    <t>G7004</t>
  </si>
  <si>
    <t>تعداد فروشگاه‌های زیان ده برای فرانچایزی با زیان بین 5 تا 10 درصد</t>
  </si>
  <si>
    <t>G7005</t>
  </si>
  <si>
    <t>تعداد فروشگاه‌های زیان ده برای فرانچایزی با زیان کمتر از 1 درصد</t>
  </si>
  <si>
    <t>G7006</t>
  </si>
  <si>
    <t>فرانچایزهای زیانده</t>
  </si>
  <si>
    <t>G7007</t>
  </si>
  <si>
    <t>سرعت تعیین تکلیف شعب تعطیل شده</t>
  </si>
  <si>
    <t>G7008</t>
  </si>
  <si>
    <t>تعداد نقاط فروش</t>
  </si>
  <si>
    <t>G71</t>
  </si>
  <si>
    <t>موجودی کالاهای موثر (ATP)</t>
  </si>
  <si>
    <t>G72</t>
  </si>
  <si>
    <t>میزان شکایت مشتریان</t>
  </si>
  <si>
    <t>G73</t>
  </si>
  <si>
    <t>ناموجودی فروش اینترنتی (NFC)</t>
  </si>
  <si>
    <t>G74</t>
  </si>
  <si>
    <t>نسبت هزینه سفیر به فروش خالص</t>
  </si>
  <si>
    <t>G75</t>
  </si>
  <si>
    <t>کمبود نیروی انسانی</t>
  </si>
  <si>
    <t>G76</t>
  </si>
  <si>
    <t>سطح پوشش جغرافیایی (Store Availability)</t>
  </si>
  <si>
    <t>G77</t>
  </si>
  <si>
    <t>طول عمر مشتری</t>
  </si>
  <si>
    <t>G78</t>
  </si>
  <si>
    <t>فروش اسنپ</t>
  </si>
  <si>
    <t>G79</t>
  </si>
  <si>
    <t>عوارض شهرداری</t>
  </si>
  <si>
    <t>حقوقی</t>
  </si>
  <si>
    <t>G8</t>
  </si>
  <si>
    <t>فروش اکالا</t>
  </si>
  <si>
    <t>G80</t>
  </si>
  <si>
    <t>سرانه آموزش مسائل حقوقی</t>
  </si>
  <si>
    <t>G8001</t>
  </si>
  <si>
    <t>حساب های مسدود شده شخصی</t>
  </si>
  <si>
    <t>G8002</t>
  </si>
  <si>
    <t>حساب های مسدود شده شرکتی</t>
  </si>
  <si>
    <t>G8003</t>
  </si>
  <si>
    <t>میزان جرائم در حوزه های تعزیرات</t>
  </si>
  <si>
    <t>G8004</t>
  </si>
  <si>
    <t>فروش خالص پ ا ب اینترنتی</t>
  </si>
  <si>
    <t>G81</t>
  </si>
  <si>
    <t>مانده مارژین فروش اینترنتی</t>
  </si>
  <si>
    <t>G82</t>
  </si>
  <si>
    <t>متوسط زمان رفع شکایت مشتری</t>
  </si>
  <si>
    <t>G83</t>
  </si>
  <si>
    <t>متوسط مبلغ فاکتور اینترنتی</t>
  </si>
  <si>
    <t>G84</t>
  </si>
  <si>
    <t>سود خالص</t>
  </si>
  <si>
    <t>G9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</si>
  <si>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</si>
  <si>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</si>
  <si>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</si>
  <si>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</si>
  <si>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</si>
  <si>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</si>
  <si>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</si>
  <si>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</si>
  <si>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</si>
  <si>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</si>
  <si>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</si>
  <si>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</si>
  <si>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</si>
  <si>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</si>
  <si>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</si>
  <si>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</si>
  <si>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</si>
  <si>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</si>
  <si>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strategyID</t>
  </si>
  <si>
    <t>departmentID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</si>
  <si>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</si>
  <si>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</si>
  <si>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</si>
  <si>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</si>
  <si>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</si>
  <si>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</si>
  <si>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</si>
  <si>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</si>
  <si>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</si>
  <si>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</si>
  <si>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</si>
  <si>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</si>
  <si>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</si>
  <si>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</si>
  <si>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</si>
  <si>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</si>
  <si>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</si>
  <si>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visionID</t>
  </si>
  <si>
    <t>V001</t>
  </si>
  <si>
    <t>V002</t>
  </si>
  <si>
    <t>V003</t>
  </si>
  <si>
    <t>V004</t>
  </si>
  <si>
    <t>unitID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</si>
  <si>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</si>
  <si>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</si>
  <si>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</si>
  <si>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</si>
  <si>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</si>
  <si>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</si>
  <si>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</si>
  <si>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</si>
  <si>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</si>
  <si>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</si>
  <si>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</si>
  <si>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</si>
  <si>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</si>
  <si>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نرخ خروج نیروهای زیر 3ماه استخدام ستاد مناطق</t>
  </si>
  <si>
    <t>نرخ خروج نیروهای زیر 3ماه استخدام انبار</t>
  </si>
  <si>
    <t>نرخ خروج نیروهای زیر 3ماه استخدام ستاد مرکزی</t>
  </si>
  <si>
    <t>نرخ خروج نیروهای زیر 3ماه استخدام فروشگاه</t>
  </si>
  <si>
    <t>مرخصی استفاده شده ستاد مرکزی</t>
  </si>
  <si>
    <t>مرخصی استفاده شده ستاد مناطق</t>
  </si>
  <si>
    <t>مرخصی استفاده شده فروشگاه ها</t>
  </si>
  <si>
    <t>مرخصی استفاده شده انبارها</t>
  </si>
  <si>
    <t>اضافه کار ستاد مرکزی</t>
  </si>
  <si>
    <t>اضافه کار ستاد مناطق</t>
  </si>
  <si>
    <t>اضافه کار فروشگاه‌ها</t>
  </si>
  <si>
    <t>اضافه کار انبارها</t>
  </si>
  <si>
    <t>G1741</t>
  </si>
  <si>
    <t>G1743</t>
  </si>
  <si>
    <t>G1740</t>
  </si>
  <si>
    <t>G1742</t>
  </si>
  <si>
    <t>G1744</t>
  </si>
  <si>
    <t>G1745</t>
  </si>
  <si>
    <t>G1746</t>
  </si>
  <si>
    <t>G1747</t>
  </si>
  <si>
    <t>G1748</t>
  </si>
  <si>
    <t>G1749</t>
  </si>
  <si>
    <t>G1750</t>
  </si>
  <si>
    <t>G1751</t>
  </si>
  <si>
    <t xml:space="preserve">اضافه کار </t>
  </si>
  <si>
    <t>G1778</t>
  </si>
  <si>
    <t>درصد رعایت آف هفتگی  کل</t>
  </si>
  <si>
    <t>G1779</t>
  </si>
  <si>
    <t>G1780</t>
  </si>
  <si>
    <t>G1781</t>
  </si>
  <si>
    <t>نرخ خروج نیروهای زیر 3ماه_کلی</t>
  </si>
  <si>
    <t>نرخ خروج پرسنل کلی</t>
  </si>
  <si>
    <t>G1777</t>
  </si>
  <si>
    <t>شورت پیک و مرجوعی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</si>
</sst>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2798D-7464-4CF5-832D-B2881F413109}">
  <dimension ref="A1:K281"/>
  <sheetViews>
    <sheetView tabSelected="1" topLeftCell="A265" workbookViewId="0">
      <selection activeCell="K281" sqref="K281"/>
    </sheetView>
  </sheetViews>
  <sheetFormatPr defaultRowHeight="15" x14ac:dyDescent="0.25"/>
  <cols>
    <col min="1" max="1" width="31.85546875" bestFit="1" customWidth="1"/>
    <col min="2" max="2" width="11.28515625" bestFit="1" customWidth="1"/>
    <col min="3" max="3" width="59.5703125" bestFit="1" customWidth="1"/>
    <col min="4" max="4" width="20.85546875" bestFit="1" customWidth="1"/>
    <col min="5" max="5" width="12.85546875" bestFit="1" customWidth="1"/>
    <col min="7" max="7" width="12.85546875" bestFit="1" customWidth="1"/>
    <col min="8" max="8" width="8.140625" bestFit="1" customWidth="1"/>
    <col min="9" max="9" width="10" bestFit="1" customWidth="1"/>
    <col min="10" max="10" width="13.5703125" bestFit="1" customWidth="1"/>
    <col min="11" max="11" width="6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622</v>
      </c>
      <c r="I1" t="s">
        <v>603</v>
      </c>
      <c r="J1" t="s">
        <v>604</v>
      </c>
      <c r="K1" t="s">
        <v>627</v>
      </c>
    </row>
    <row r="2" spans="1:11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tr">
        <f>VLOOKUP(E2,منظر!A:B,2,0)</f>
        <v>V001</v>
      </c>
      <c r="I2" t="str">
        <f>VLOOKUP(A2,استراتژی!A:B,2,0)</f>
        <v>S001</v>
      </c>
      <c r="J2" t="str">
        <f>VLOOKUP(D2,دپارتمان!A:B,2,0)</f>
        <v>D001</v>
      </c>
      <c r="K2" t="str">
        <f>VLOOKUP(F2,'واحد سنجش'!A:B,2,0)</f>
        <v>U001</v>
      </c>
    </row>
    <row r="3" spans="1:11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  <c r="H3" t="str">
        <f>VLOOKUP(E3,منظر!A:B,2,0)</f>
        <v>V001</v>
      </c>
      <c r="I3" t="str">
        <f>VLOOKUP(A3,استراتژی!A:B,2,0)</f>
        <v>S002</v>
      </c>
      <c r="J3" t="str">
        <f>VLOOKUP(D3,دپارتمان!A:B,2,0)</f>
        <v>D002</v>
      </c>
      <c r="K3" t="str">
        <f>VLOOKUP(F3,'واحد سنجش'!A:B,2,0)</f>
        <v>U002</v>
      </c>
    </row>
    <row r="4" spans="1:11" x14ac:dyDescent="0.25">
      <c r="A4" t="s">
        <v>20</v>
      </c>
      <c r="B4" t="s">
        <v>8</v>
      </c>
      <c r="C4" t="s">
        <v>21</v>
      </c>
      <c r="D4" t="s">
        <v>22</v>
      </c>
      <c r="E4" t="s">
        <v>23</v>
      </c>
      <c r="F4" t="s">
        <v>12</v>
      </c>
      <c r="G4" t="s">
        <v>24</v>
      </c>
      <c r="H4" t="str">
        <f>VLOOKUP(E4,منظر!A:B,2,0)</f>
        <v>V002</v>
      </c>
      <c r="I4" t="str">
        <f>VLOOKUP(A4,استراتژی!A:B,2,0)</f>
        <v>S003</v>
      </c>
      <c r="J4" t="str">
        <f>VLOOKUP(D4,دپارتمان!A:B,2,0)</f>
        <v>D003</v>
      </c>
      <c r="K4" t="str">
        <f>VLOOKUP(F4,'واحد سنجش'!A:B,2,0)</f>
        <v>U001</v>
      </c>
    </row>
    <row r="5" spans="1:11" x14ac:dyDescent="0.25">
      <c r="A5" t="s">
        <v>25</v>
      </c>
      <c r="B5" t="s">
        <v>8</v>
      </c>
      <c r="C5" t="s">
        <v>26</v>
      </c>
      <c r="D5" t="s">
        <v>22</v>
      </c>
      <c r="E5" t="s">
        <v>23</v>
      </c>
      <c r="F5" t="s">
        <v>12</v>
      </c>
      <c r="G5" t="s">
        <v>27</v>
      </c>
      <c r="H5" t="str">
        <f>VLOOKUP(E5,منظر!A:B,2,0)</f>
        <v>V002</v>
      </c>
      <c r="I5" t="str">
        <f>VLOOKUP(A5,استراتژی!A:B,2,0)</f>
        <v>S004</v>
      </c>
      <c r="J5" t="str">
        <f>VLOOKUP(D5,دپارتمان!A:B,2,0)</f>
        <v>D003</v>
      </c>
      <c r="K5" t="str">
        <f>VLOOKUP(F5,'واحد سنجش'!A:B,2,0)</f>
        <v>U001</v>
      </c>
    </row>
    <row r="6" spans="1:11" x14ac:dyDescent="0.25">
      <c r="A6" t="s">
        <v>25</v>
      </c>
      <c r="B6" t="s">
        <v>8</v>
      </c>
      <c r="C6" t="s">
        <v>28</v>
      </c>
      <c r="D6" t="s">
        <v>22</v>
      </c>
      <c r="E6" t="s">
        <v>23</v>
      </c>
      <c r="F6" t="s">
        <v>12</v>
      </c>
      <c r="G6" t="s">
        <v>29</v>
      </c>
      <c r="H6" t="str">
        <f>VLOOKUP(E6,منظر!A:B,2,0)</f>
        <v>V002</v>
      </c>
      <c r="I6" t="str">
        <f>VLOOKUP(A6,استراتژی!A:B,2,0)</f>
        <v>S004</v>
      </c>
      <c r="J6" t="str">
        <f>VLOOKUP(D6,دپارتمان!A:B,2,0)</f>
        <v>D003</v>
      </c>
      <c r="K6" t="str">
        <f>VLOOKUP(F6,'واحد سنجش'!A:B,2,0)</f>
        <v>U001</v>
      </c>
    </row>
    <row r="7" spans="1:11" x14ac:dyDescent="0.25">
      <c r="A7" t="s">
        <v>25</v>
      </c>
      <c r="B7" t="s">
        <v>8</v>
      </c>
      <c r="C7" t="s">
        <v>30</v>
      </c>
      <c r="D7" t="s">
        <v>22</v>
      </c>
      <c r="E7" t="s">
        <v>23</v>
      </c>
      <c r="F7" t="s">
        <v>12</v>
      </c>
      <c r="G7" t="s">
        <v>31</v>
      </c>
      <c r="H7" t="str">
        <f>VLOOKUP(E7,منظر!A:B,2,0)</f>
        <v>V002</v>
      </c>
      <c r="I7" t="str">
        <f>VLOOKUP(A7,استراتژی!A:B,2,0)</f>
        <v>S004</v>
      </c>
      <c r="J7" t="str">
        <f>VLOOKUP(D7,دپارتمان!A:B,2,0)</f>
        <v>D003</v>
      </c>
      <c r="K7" t="str">
        <f>VLOOKUP(F7,'واحد سنجش'!A:B,2,0)</f>
        <v>U001</v>
      </c>
    </row>
    <row r="8" spans="1:11" x14ac:dyDescent="0.25">
      <c r="A8" t="s">
        <v>20</v>
      </c>
      <c r="B8" t="s">
        <v>8</v>
      </c>
      <c r="C8" t="s">
        <v>32</v>
      </c>
      <c r="D8" t="s">
        <v>22</v>
      </c>
      <c r="E8" t="s">
        <v>23</v>
      </c>
      <c r="F8" t="s">
        <v>12</v>
      </c>
      <c r="G8" t="s">
        <v>33</v>
      </c>
      <c r="H8" t="str">
        <f>VLOOKUP(E8,منظر!A:B,2,0)</f>
        <v>V002</v>
      </c>
      <c r="I8" t="str">
        <f>VLOOKUP(A8,استراتژی!A:B,2,0)</f>
        <v>S003</v>
      </c>
      <c r="J8" t="str">
        <f>VLOOKUP(D8,دپارتمان!A:B,2,0)</f>
        <v>D003</v>
      </c>
      <c r="K8" t="str">
        <f>VLOOKUP(F8,'واحد سنجش'!A:B,2,0)</f>
        <v>U001</v>
      </c>
    </row>
    <row r="9" spans="1:11" x14ac:dyDescent="0.25">
      <c r="A9" t="s">
        <v>34</v>
      </c>
      <c r="B9" t="s">
        <v>8</v>
      </c>
      <c r="C9" t="s">
        <v>35</v>
      </c>
      <c r="D9" t="s">
        <v>22</v>
      </c>
      <c r="E9" t="s">
        <v>23</v>
      </c>
      <c r="F9" t="s">
        <v>36</v>
      </c>
      <c r="G9" t="s">
        <v>37</v>
      </c>
      <c r="H9" t="str">
        <f>VLOOKUP(E9,منظر!A:B,2,0)</f>
        <v>V002</v>
      </c>
      <c r="I9" t="str">
        <f>VLOOKUP(A9,استراتژی!A:B,2,0)</f>
        <v>S005</v>
      </c>
      <c r="J9" t="str">
        <f>VLOOKUP(D9,دپارتمان!A:B,2,0)</f>
        <v>D003</v>
      </c>
      <c r="K9" t="str">
        <f>VLOOKUP(F9,'واحد سنجش'!A:B,2,0)</f>
        <v>U003</v>
      </c>
    </row>
    <row r="10" spans="1:11" x14ac:dyDescent="0.25">
      <c r="A10" t="s">
        <v>25</v>
      </c>
      <c r="B10" t="s">
        <v>8</v>
      </c>
      <c r="C10" t="s">
        <v>38</v>
      </c>
      <c r="D10" t="s">
        <v>22</v>
      </c>
      <c r="E10" t="s">
        <v>23</v>
      </c>
      <c r="F10" t="s">
        <v>12</v>
      </c>
      <c r="G10" t="s">
        <v>39</v>
      </c>
      <c r="H10" t="str">
        <f>VLOOKUP(E10,منظر!A:B,2,0)</f>
        <v>V002</v>
      </c>
      <c r="I10" t="str">
        <f>VLOOKUP(A10,استراتژی!A:B,2,0)</f>
        <v>S004</v>
      </c>
      <c r="J10" t="str">
        <f>VLOOKUP(D10,دپارتمان!A:B,2,0)</f>
        <v>D003</v>
      </c>
      <c r="K10" t="str">
        <f>VLOOKUP(F10,'واحد سنجش'!A:B,2,0)</f>
        <v>U001</v>
      </c>
    </row>
    <row r="11" spans="1:11" x14ac:dyDescent="0.25">
      <c r="A11" t="s">
        <v>25</v>
      </c>
      <c r="B11" t="s">
        <v>8</v>
      </c>
      <c r="C11" t="s">
        <v>40</v>
      </c>
      <c r="D11" t="s">
        <v>22</v>
      </c>
      <c r="E11" t="s">
        <v>23</v>
      </c>
      <c r="F11" t="s">
        <v>36</v>
      </c>
      <c r="G11" t="s">
        <v>41</v>
      </c>
      <c r="H11" t="str">
        <f>VLOOKUP(E11,منظر!A:B,2,0)</f>
        <v>V002</v>
      </c>
      <c r="I11" t="str">
        <f>VLOOKUP(A11,استراتژی!A:B,2,0)</f>
        <v>S004</v>
      </c>
      <c r="J11" t="str">
        <f>VLOOKUP(D11,دپارتمان!A:B,2,0)</f>
        <v>D003</v>
      </c>
      <c r="K11" t="str">
        <f>VLOOKUP(F11,'واحد سنجش'!A:B,2,0)</f>
        <v>U003</v>
      </c>
    </row>
    <row r="12" spans="1:11" x14ac:dyDescent="0.25">
      <c r="A12" t="s">
        <v>25</v>
      </c>
      <c r="B12" t="s">
        <v>8</v>
      </c>
      <c r="C12" t="s">
        <v>42</v>
      </c>
      <c r="D12" t="s">
        <v>22</v>
      </c>
      <c r="E12" t="s">
        <v>23</v>
      </c>
      <c r="F12" t="s">
        <v>36</v>
      </c>
      <c r="G12" t="s">
        <v>43</v>
      </c>
      <c r="H12" t="str">
        <f>VLOOKUP(E12,منظر!A:B,2,0)</f>
        <v>V002</v>
      </c>
      <c r="I12" t="str">
        <f>VLOOKUP(A12,استراتژی!A:B,2,0)</f>
        <v>S004</v>
      </c>
      <c r="J12" t="str">
        <f>VLOOKUP(D12,دپارتمان!A:B,2,0)</f>
        <v>D003</v>
      </c>
      <c r="K12" t="str">
        <f>VLOOKUP(F12,'واحد سنجش'!A:B,2,0)</f>
        <v>U003</v>
      </c>
    </row>
    <row r="13" spans="1:11" x14ac:dyDescent="0.25">
      <c r="A13" t="s">
        <v>20</v>
      </c>
      <c r="B13" t="s">
        <v>8</v>
      </c>
      <c r="C13" t="s">
        <v>44</v>
      </c>
      <c r="D13" t="s">
        <v>22</v>
      </c>
      <c r="E13" t="s">
        <v>23</v>
      </c>
      <c r="F13" t="s">
        <v>36</v>
      </c>
      <c r="G13" t="s">
        <v>45</v>
      </c>
      <c r="H13" t="str">
        <f>VLOOKUP(E13,منظر!A:B,2,0)</f>
        <v>V002</v>
      </c>
      <c r="I13" t="str">
        <f>VLOOKUP(A13,استراتژی!A:B,2,0)</f>
        <v>S003</v>
      </c>
      <c r="J13" t="str">
        <f>VLOOKUP(D13,دپارتمان!A:B,2,0)</f>
        <v>D003</v>
      </c>
      <c r="K13" t="str">
        <f>VLOOKUP(F13,'واحد سنجش'!A:B,2,0)</f>
        <v>U003</v>
      </c>
    </row>
    <row r="14" spans="1:11" x14ac:dyDescent="0.25">
      <c r="A14" t="s">
        <v>20</v>
      </c>
      <c r="B14" t="s">
        <v>8</v>
      </c>
      <c r="C14" t="s">
        <v>46</v>
      </c>
      <c r="D14" t="s">
        <v>22</v>
      </c>
      <c r="E14" t="s">
        <v>23</v>
      </c>
      <c r="F14" t="s">
        <v>36</v>
      </c>
      <c r="G14" t="s">
        <v>47</v>
      </c>
      <c r="H14" t="str">
        <f>VLOOKUP(E14,منظر!A:B,2,0)</f>
        <v>V002</v>
      </c>
      <c r="I14" t="str">
        <f>VLOOKUP(A14,استراتژی!A:B,2,0)</f>
        <v>S003</v>
      </c>
      <c r="J14" t="str">
        <f>VLOOKUP(D14,دپارتمان!A:B,2,0)</f>
        <v>D003</v>
      </c>
      <c r="K14" t="str">
        <f>VLOOKUP(F14,'واحد سنجش'!A:B,2,0)</f>
        <v>U003</v>
      </c>
    </row>
    <row r="15" spans="1:11" x14ac:dyDescent="0.25">
      <c r="A15" t="s">
        <v>20</v>
      </c>
      <c r="B15" t="s">
        <v>8</v>
      </c>
      <c r="C15" t="s">
        <v>48</v>
      </c>
      <c r="D15" t="s">
        <v>22</v>
      </c>
      <c r="E15" t="s">
        <v>23</v>
      </c>
      <c r="F15" t="s">
        <v>36</v>
      </c>
      <c r="G15" t="s">
        <v>49</v>
      </c>
      <c r="H15" t="str">
        <f>VLOOKUP(E15,منظر!A:B,2,0)</f>
        <v>V002</v>
      </c>
      <c r="I15" t="str">
        <f>VLOOKUP(A15,استراتژی!A:B,2,0)</f>
        <v>S003</v>
      </c>
      <c r="J15" t="str">
        <f>VLOOKUP(D15,دپارتمان!A:B,2,0)</f>
        <v>D003</v>
      </c>
      <c r="K15" t="str">
        <f>VLOOKUP(F15,'واحد سنجش'!A:B,2,0)</f>
        <v>U003</v>
      </c>
    </row>
    <row r="16" spans="1:11" x14ac:dyDescent="0.25">
      <c r="A16" t="s">
        <v>20</v>
      </c>
      <c r="B16" t="s">
        <v>8</v>
      </c>
      <c r="C16" t="s">
        <v>50</v>
      </c>
      <c r="D16" t="s">
        <v>22</v>
      </c>
      <c r="E16" t="s">
        <v>23</v>
      </c>
      <c r="F16" t="s">
        <v>414</v>
      </c>
      <c r="G16" t="s">
        <v>52</v>
      </c>
      <c r="H16" t="str">
        <f>VLOOKUP(E16,منظر!A:B,2,0)</f>
        <v>V002</v>
      </c>
      <c r="I16" t="str">
        <f>VLOOKUP(A16,استراتژی!A:B,2,0)</f>
        <v>S003</v>
      </c>
      <c r="J16" t="str">
        <f>VLOOKUP(D16,دپارتمان!A:B,2,0)</f>
        <v>D003</v>
      </c>
      <c r="K16" t="str">
        <f>VLOOKUP(F16,'واحد سنجش'!A:B,2,0)</f>
        <v>U012</v>
      </c>
    </row>
    <row r="17" spans="1:11" x14ac:dyDescent="0.25">
      <c r="A17" t="s">
        <v>14</v>
      </c>
      <c r="B17" t="s">
        <v>53</v>
      </c>
      <c r="C17" t="s">
        <v>54</v>
      </c>
      <c r="D17" t="s">
        <v>22</v>
      </c>
      <c r="E17" t="s">
        <v>11</v>
      </c>
      <c r="F17" t="s">
        <v>55</v>
      </c>
      <c r="G17" t="s">
        <v>56</v>
      </c>
      <c r="H17" t="str">
        <f>VLOOKUP(E17,منظر!A:B,2,0)</f>
        <v>V001</v>
      </c>
      <c r="I17" t="str">
        <f>VLOOKUP(A17,استراتژی!A:B,2,0)</f>
        <v>S002</v>
      </c>
      <c r="J17" t="str">
        <f>VLOOKUP(D17,دپارتمان!A:B,2,0)</f>
        <v>D003</v>
      </c>
      <c r="K17" t="str">
        <f>VLOOKUP(F17,'واحد سنجش'!A:B,2,0)</f>
        <v>U005</v>
      </c>
    </row>
    <row r="18" spans="1:11" x14ac:dyDescent="0.25">
      <c r="A18" t="s">
        <v>7</v>
      </c>
      <c r="B18" t="s">
        <v>8</v>
      </c>
      <c r="C18" t="s">
        <v>57</v>
      </c>
      <c r="D18" t="s">
        <v>10</v>
      </c>
      <c r="E18" t="s">
        <v>11</v>
      </c>
      <c r="F18" t="s">
        <v>12</v>
      </c>
      <c r="G18" t="s">
        <v>58</v>
      </c>
      <c r="H18" t="str">
        <f>VLOOKUP(E18,منظر!A:B,2,0)</f>
        <v>V001</v>
      </c>
      <c r="I18" t="str">
        <f>VLOOKUP(A18,استراتژی!A:B,2,0)</f>
        <v>S001</v>
      </c>
      <c r="J18" t="str">
        <f>VLOOKUP(D18,دپارتمان!A:B,2,0)</f>
        <v>D001</v>
      </c>
      <c r="K18" t="str">
        <f>VLOOKUP(F18,'واحد سنجش'!A:B,2,0)</f>
        <v>U001</v>
      </c>
    </row>
    <row r="19" spans="1:11" x14ac:dyDescent="0.25">
      <c r="A19" t="s">
        <v>59</v>
      </c>
      <c r="B19" t="s">
        <v>8</v>
      </c>
      <c r="C19" t="s">
        <v>60</v>
      </c>
      <c r="D19" t="s">
        <v>61</v>
      </c>
      <c r="E19" t="s">
        <v>62</v>
      </c>
      <c r="F19" t="s">
        <v>12</v>
      </c>
      <c r="G19" t="s">
        <v>63</v>
      </c>
      <c r="H19" t="str">
        <f>VLOOKUP(E19,منظر!A:B,2,0)</f>
        <v>V003</v>
      </c>
      <c r="I19" t="str">
        <f>VLOOKUP(A19,استراتژی!A:B,2,0)</f>
        <v>S006</v>
      </c>
      <c r="J19" t="str">
        <f>VLOOKUP(D19,دپارتمان!A:B,2,0)</f>
        <v>D004</v>
      </c>
      <c r="K19" t="str">
        <f>VLOOKUP(F19,'واحد سنجش'!A:B,2,0)</f>
        <v>U001</v>
      </c>
    </row>
    <row r="20" spans="1:11" x14ac:dyDescent="0.25">
      <c r="A20" t="s">
        <v>59</v>
      </c>
      <c r="B20" t="s">
        <v>8</v>
      </c>
      <c r="C20" t="s">
        <v>64</v>
      </c>
      <c r="D20" t="s">
        <v>61</v>
      </c>
      <c r="E20" t="s">
        <v>62</v>
      </c>
      <c r="F20" t="s">
        <v>12</v>
      </c>
      <c r="G20" t="s">
        <v>65</v>
      </c>
      <c r="H20" t="str">
        <f>VLOOKUP(E20,منظر!A:B,2,0)</f>
        <v>V003</v>
      </c>
      <c r="I20" t="str">
        <f>VLOOKUP(A20,استراتژی!A:B,2,0)</f>
        <v>S006</v>
      </c>
      <c r="J20" t="str">
        <f>VLOOKUP(D20,دپارتمان!A:B,2,0)</f>
        <v>D004</v>
      </c>
      <c r="K20" t="str">
        <f>VLOOKUP(F20,'واحد سنجش'!A:B,2,0)</f>
        <v>U001</v>
      </c>
    </row>
    <row r="21" spans="1:11" x14ac:dyDescent="0.25">
      <c r="A21" t="s">
        <v>59</v>
      </c>
      <c r="B21" t="s">
        <v>8</v>
      </c>
      <c r="C21" t="s">
        <v>66</v>
      </c>
      <c r="D21" t="s">
        <v>61</v>
      </c>
      <c r="E21" t="s">
        <v>62</v>
      </c>
      <c r="F21" t="s">
        <v>12</v>
      </c>
      <c r="G21" t="s">
        <v>67</v>
      </c>
      <c r="H21" t="str">
        <f>VLOOKUP(E21,منظر!A:B,2,0)</f>
        <v>V003</v>
      </c>
      <c r="I21" t="str">
        <f>VLOOKUP(A21,استراتژی!A:B,2,0)</f>
        <v>S006</v>
      </c>
      <c r="J21" t="str">
        <f>VLOOKUP(D21,دپارتمان!A:B,2,0)</f>
        <v>D004</v>
      </c>
      <c r="K21" t="str">
        <f>VLOOKUP(F21,'واحد سنجش'!A:B,2,0)</f>
        <v>U001</v>
      </c>
    </row>
    <row r="22" spans="1:11" x14ac:dyDescent="0.25">
      <c r="A22" t="s">
        <v>59</v>
      </c>
      <c r="B22" t="s">
        <v>8</v>
      </c>
      <c r="C22" t="s">
        <v>68</v>
      </c>
      <c r="D22" t="s">
        <v>61</v>
      </c>
      <c r="E22" t="s">
        <v>62</v>
      </c>
      <c r="F22" t="s">
        <v>12</v>
      </c>
      <c r="G22" t="s">
        <v>69</v>
      </c>
      <c r="H22" t="str">
        <f>VLOOKUP(E22,منظر!A:B,2,0)</f>
        <v>V003</v>
      </c>
      <c r="I22" t="str">
        <f>VLOOKUP(A22,استراتژی!A:B,2,0)</f>
        <v>S006</v>
      </c>
      <c r="J22" t="str">
        <f>VLOOKUP(D22,دپارتمان!A:B,2,0)</f>
        <v>D004</v>
      </c>
      <c r="K22" t="str">
        <f>VLOOKUP(F22,'واحد سنجش'!A:B,2,0)</f>
        <v>U001</v>
      </c>
    </row>
    <row r="23" spans="1:11" x14ac:dyDescent="0.25">
      <c r="A23" t="s">
        <v>59</v>
      </c>
      <c r="B23" t="s">
        <v>8</v>
      </c>
      <c r="C23" t="s">
        <v>70</v>
      </c>
      <c r="D23" t="s">
        <v>61</v>
      </c>
      <c r="E23" t="s">
        <v>62</v>
      </c>
      <c r="F23" t="s">
        <v>12</v>
      </c>
      <c r="G23" t="s">
        <v>71</v>
      </c>
      <c r="H23" t="str">
        <f>VLOOKUP(E23,منظر!A:B,2,0)</f>
        <v>V003</v>
      </c>
      <c r="I23" t="str">
        <f>VLOOKUP(A23,استراتژی!A:B,2,0)</f>
        <v>S006</v>
      </c>
      <c r="J23" t="str">
        <f>VLOOKUP(D23,دپارتمان!A:B,2,0)</f>
        <v>D004</v>
      </c>
      <c r="K23" t="str">
        <f>VLOOKUP(F23,'واحد سنجش'!A:B,2,0)</f>
        <v>U001</v>
      </c>
    </row>
    <row r="24" spans="1:11" x14ac:dyDescent="0.25">
      <c r="A24" t="s">
        <v>59</v>
      </c>
      <c r="B24" t="s">
        <v>8</v>
      </c>
      <c r="C24" t="s">
        <v>72</v>
      </c>
      <c r="D24" t="s">
        <v>61</v>
      </c>
      <c r="E24" t="s">
        <v>62</v>
      </c>
      <c r="F24" t="s">
        <v>12</v>
      </c>
      <c r="G24" t="s">
        <v>73</v>
      </c>
      <c r="H24" t="str">
        <f>VLOOKUP(E24,منظر!A:B,2,0)</f>
        <v>V003</v>
      </c>
      <c r="I24" t="str">
        <f>VLOOKUP(A24,استراتژی!A:B,2,0)</f>
        <v>S006</v>
      </c>
      <c r="J24" t="str">
        <f>VLOOKUP(D24,دپارتمان!A:B,2,0)</f>
        <v>D004</v>
      </c>
      <c r="K24" t="str">
        <f>VLOOKUP(F24,'واحد سنجش'!A:B,2,0)</f>
        <v>U001</v>
      </c>
    </row>
    <row r="25" spans="1:11" x14ac:dyDescent="0.25">
      <c r="A25" t="s">
        <v>59</v>
      </c>
      <c r="B25" t="s">
        <v>8</v>
      </c>
      <c r="C25" t="s">
        <v>74</v>
      </c>
      <c r="D25" t="s">
        <v>61</v>
      </c>
      <c r="E25" t="s">
        <v>62</v>
      </c>
      <c r="F25" t="s">
        <v>12</v>
      </c>
      <c r="G25" t="s">
        <v>75</v>
      </c>
      <c r="H25" t="str">
        <f>VLOOKUP(E25,منظر!A:B,2,0)</f>
        <v>V003</v>
      </c>
      <c r="I25" t="str">
        <f>VLOOKUP(A25,استراتژی!A:B,2,0)</f>
        <v>S006</v>
      </c>
      <c r="J25" t="str">
        <f>VLOOKUP(D25,دپارتمان!A:B,2,0)</f>
        <v>D004</v>
      </c>
      <c r="K25" t="str">
        <f>VLOOKUP(F25,'واحد سنجش'!A:B,2,0)</f>
        <v>U001</v>
      </c>
    </row>
    <row r="26" spans="1:11" x14ac:dyDescent="0.25">
      <c r="A26" t="s">
        <v>59</v>
      </c>
      <c r="B26" t="s">
        <v>8</v>
      </c>
      <c r="C26" t="s">
        <v>76</v>
      </c>
      <c r="D26" t="s">
        <v>61</v>
      </c>
      <c r="E26" t="s">
        <v>62</v>
      </c>
      <c r="F26" t="s">
        <v>12</v>
      </c>
      <c r="G26" t="s">
        <v>77</v>
      </c>
      <c r="H26" t="str">
        <f>VLOOKUP(E26,منظر!A:B,2,0)</f>
        <v>V003</v>
      </c>
      <c r="I26" t="str">
        <f>VLOOKUP(A26,استراتژی!A:B,2,0)</f>
        <v>S006</v>
      </c>
      <c r="J26" t="str">
        <f>VLOOKUP(D26,دپارتمان!A:B,2,0)</f>
        <v>D004</v>
      </c>
      <c r="K26" t="str">
        <f>VLOOKUP(F26,'واحد سنجش'!A:B,2,0)</f>
        <v>U001</v>
      </c>
    </row>
    <row r="27" spans="1:11" x14ac:dyDescent="0.25">
      <c r="A27" t="s">
        <v>59</v>
      </c>
      <c r="B27" t="s">
        <v>8</v>
      </c>
      <c r="C27" t="s">
        <v>78</v>
      </c>
      <c r="D27" t="s">
        <v>61</v>
      </c>
      <c r="E27" t="s">
        <v>62</v>
      </c>
      <c r="F27" t="s">
        <v>79</v>
      </c>
      <c r="G27" t="s">
        <v>80</v>
      </c>
      <c r="H27" t="str">
        <f>VLOOKUP(E27,منظر!A:B,2,0)</f>
        <v>V003</v>
      </c>
      <c r="I27" t="str">
        <f>VLOOKUP(A27,استراتژی!A:B,2,0)</f>
        <v>S006</v>
      </c>
      <c r="J27" t="str">
        <f>VLOOKUP(D27,دپارتمان!A:B,2,0)</f>
        <v>D004</v>
      </c>
      <c r="K27" t="str">
        <f>VLOOKUP(F27,'واحد سنجش'!A:B,2,0)</f>
        <v>U006</v>
      </c>
    </row>
    <row r="28" spans="1:11" x14ac:dyDescent="0.25">
      <c r="A28" t="s">
        <v>59</v>
      </c>
      <c r="B28" t="s">
        <v>8</v>
      </c>
      <c r="C28" t="s">
        <v>81</v>
      </c>
      <c r="D28" t="s">
        <v>61</v>
      </c>
      <c r="E28" t="s">
        <v>62</v>
      </c>
      <c r="F28" t="s">
        <v>12</v>
      </c>
      <c r="G28" t="s">
        <v>82</v>
      </c>
      <c r="H28" t="str">
        <f>VLOOKUP(E28,منظر!A:B,2,0)</f>
        <v>V003</v>
      </c>
      <c r="I28" t="str">
        <f>VLOOKUP(A28,استراتژی!A:B,2,0)</f>
        <v>S006</v>
      </c>
      <c r="J28" t="str">
        <f>VLOOKUP(D28,دپارتمان!A:B,2,0)</f>
        <v>D004</v>
      </c>
      <c r="K28" t="str">
        <f>VLOOKUP(F28,'واحد سنجش'!A:B,2,0)</f>
        <v>U001</v>
      </c>
    </row>
    <row r="29" spans="1:11" x14ac:dyDescent="0.25">
      <c r="A29" t="s">
        <v>59</v>
      </c>
      <c r="B29" t="s">
        <v>8</v>
      </c>
      <c r="C29" t="s">
        <v>83</v>
      </c>
      <c r="D29" t="s">
        <v>61</v>
      </c>
      <c r="E29" t="s">
        <v>62</v>
      </c>
      <c r="F29" t="s">
        <v>12</v>
      </c>
      <c r="G29" t="s">
        <v>84</v>
      </c>
      <c r="H29" t="str">
        <f>VLOOKUP(E29,منظر!A:B,2,0)</f>
        <v>V003</v>
      </c>
      <c r="I29" t="str">
        <f>VLOOKUP(A29,استراتژی!A:B,2,0)</f>
        <v>S006</v>
      </c>
      <c r="J29" t="str">
        <f>VLOOKUP(D29,دپارتمان!A:B,2,0)</f>
        <v>D004</v>
      </c>
      <c r="K29" t="str">
        <f>VLOOKUP(F29,'واحد سنجش'!A:B,2,0)</f>
        <v>U001</v>
      </c>
    </row>
    <row r="30" spans="1:11" x14ac:dyDescent="0.25">
      <c r="A30" t="s">
        <v>59</v>
      </c>
      <c r="B30" t="s">
        <v>8</v>
      </c>
      <c r="C30" t="s">
        <v>85</v>
      </c>
      <c r="D30" t="s">
        <v>61</v>
      </c>
      <c r="E30" t="s">
        <v>62</v>
      </c>
      <c r="F30" t="s">
        <v>12</v>
      </c>
      <c r="G30" t="s">
        <v>86</v>
      </c>
      <c r="H30" t="str">
        <f>VLOOKUP(E30,منظر!A:B,2,0)</f>
        <v>V003</v>
      </c>
      <c r="I30" t="str">
        <f>VLOOKUP(A30,استراتژی!A:B,2,0)</f>
        <v>S006</v>
      </c>
      <c r="J30" t="str">
        <f>VLOOKUP(D30,دپارتمان!A:B,2,0)</f>
        <v>D004</v>
      </c>
      <c r="K30" t="str">
        <f>VLOOKUP(F30,'واحد سنجش'!A:B,2,0)</f>
        <v>U001</v>
      </c>
    </row>
    <row r="31" spans="1:11" x14ac:dyDescent="0.25">
      <c r="A31" t="s">
        <v>59</v>
      </c>
      <c r="B31" t="s">
        <v>8</v>
      </c>
      <c r="C31" t="s">
        <v>87</v>
      </c>
      <c r="D31" t="s">
        <v>61</v>
      </c>
      <c r="E31" t="s">
        <v>62</v>
      </c>
      <c r="F31" t="s">
        <v>12</v>
      </c>
      <c r="G31" t="s">
        <v>88</v>
      </c>
      <c r="H31" t="str">
        <f>VLOOKUP(E31,منظر!A:B,2,0)</f>
        <v>V003</v>
      </c>
      <c r="I31" t="str">
        <f>VLOOKUP(A31,استراتژی!A:B,2,0)</f>
        <v>S006</v>
      </c>
      <c r="J31" t="str">
        <f>VLOOKUP(D31,دپارتمان!A:B,2,0)</f>
        <v>D004</v>
      </c>
      <c r="K31" t="str">
        <f>VLOOKUP(F31,'واحد سنجش'!A:B,2,0)</f>
        <v>U001</v>
      </c>
    </row>
    <row r="32" spans="1:11" x14ac:dyDescent="0.25">
      <c r="A32" t="s">
        <v>59</v>
      </c>
      <c r="B32" t="s">
        <v>8</v>
      </c>
      <c r="C32" t="s">
        <v>89</v>
      </c>
      <c r="D32" t="s">
        <v>61</v>
      </c>
      <c r="E32" t="s">
        <v>62</v>
      </c>
      <c r="F32" t="s">
        <v>12</v>
      </c>
      <c r="G32" t="s">
        <v>90</v>
      </c>
      <c r="H32" t="str">
        <f>VLOOKUP(E32,منظر!A:B,2,0)</f>
        <v>V003</v>
      </c>
      <c r="I32" t="str">
        <f>VLOOKUP(A32,استراتژی!A:B,2,0)</f>
        <v>S006</v>
      </c>
      <c r="J32" t="str">
        <f>VLOOKUP(D32,دپارتمان!A:B,2,0)</f>
        <v>D004</v>
      </c>
      <c r="K32" t="str">
        <f>VLOOKUP(F32,'واحد سنجش'!A:B,2,0)</f>
        <v>U001</v>
      </c>
    </row>
    <row r="33" spans="1:11" x14ac:dyDescent="0.25">
      <c r="A33" t="s">
        <v>59</v>
      </c>
      <c r="B33" t="s">
        <v>8</v>
      </c>
      <c r="C33" t="s">
        <v>91</v>
      </c>
      <c r="D33" t="s">
        <v>61</v>
      </c>
      <c r="E33" t="s">
        <v>62</v>
      </c>
      <c r="F33" t="s">
        <v>12</v>
      </c>
      <c r="G33" t="s">
        <v>92</v>
      </c>
      <c r="H33" t="str">
        <f>VLOOKUP(E33,منظر!A:B,2,0)</f>
        <v>V003</v>
      </c>
      <c r="I33" t="str">
        <f>VLOOKUP(A33,استراتژی!A:B,2,0)</f>
        <v>S006</v>
      </c>
      <c r="J33" t="str">
        <f>VLOOKUP(D33,دپارتمان!A:B,2,0)</f>
        <v>D004</v>
      </c>
      <c r="K33" t="str">
        <f>VLOOKUP(F33,'واحد سنجش'!A:B,2,0)</f>
        <v>U001</v>
      </c>
    </row>
    <row r="34" spans="1:11" x14ac:dyDescent="0.25">
      <c r="A34" t="s">
        <v>59</v>
      </c>
      <c r="B34" t="s">
        <v>8</v>
      </c>
      <c r="C34" t="s">
        <v>93</v>
      </c>
      <c r="D34" t="s">
        <v>61</v>
      </c>
      <c r="E34" t="s">
        <v>62</v>
      </c>
      <c r="F34" t="s">
        <v>12</v>
      </c>
      <c r="G34" t="s">
        <v>94</v>
      </c>
      <c r="H34" t="str">
        <f>VLOOKUP(E34,منظر!A:B,2,0)</f>
        <v>V003</v>
      </c>
      <c r="I34" t="str">
        <f>VLOOKUP(A34,استراتژی!A:B,2,0)</f>
        <v>S006</v>
      </c>
      <c r="J34" t="str">
        <f>VLOOKUP(D34,دپارتمان!A:B,2,0)</f>
        <v>D004</v>
      </c>
      <c r="K34" t="str">
        <f>VLOOKUP(F34,'واحد سنجش'!A:B,2,0)</f>
        <v>U001</v>
      </c>
    </row>
    <row r="35" spans="1:11" x14ac:dyDescent="0.25">
      <c r="A35" t="s">
        <v>59</v>
      </c>
      <c r="B35" t="s">
        <v>8</v>
      </c>
      <c r="C35" t="s">
        <v>95</v>
      </c>
      <c r="D35" t="s">
        <v>61</v>
      </c>
      <c r="E35" t="s">
        <v>62</v>
      </c>
      <c r="F35" t="s">
        <v>12</v>
      </c>
      <c r="G35" t="s">
        <v>96</v>
      </c>
      <c r="H35" t="str">
        <f>VLOOKUP(E35,منظر!A:B,2,0)</f>
        <v>V003</v>
      </c>
      <c r="I35" t="str">
        <f>VLOOKUP(A35,استراتژی!A:B,2,0)</f>
        <v>S006</v>
      </c>
      <c r="J35" t="str">
        <f>VLOOKUP(D35,دپارتمان!A:B,2,0)</f>
        <v>D004</v>
      </c>
      <c r="K35" t="str">
        <f>VLOOKUP(F35,'واحد سنجش'!A:B,2,0)</f>
        <v>U001</v>
      </c>
    </row>
    <row r="36" spans="1:11" x14ac:dyDescent="0.25">
      <c r="A36" t="s">
        <v>59</v>
      </c>
      <c r="B36" t="s">
        <v>8</v>
      </c>
      <c r="C36" t="s">
        <v>97</v>
      </c>
      <c r="D36" t="s">
        <v>61</v>
      </c>
      <c r="E36" t="s">
        <v>62</v>
      </c>
      <c r="F36" t="s">
        <v>12</v>
      </c>
      <c r="G36" t="s">
        <v>98</v>
      </c>
      <c r="H36" t="str">
        <f>VLOOKUP(E36,منظر!A:B,2,0)</f>
        <v>V003</v>
      </c>
      <c r="I36" t="str">
        <f>VLOOKUP(A36,استراتژی!A:B,2,0)</f>
        <v>S006</v>
      </c>
      <c r="J36" t="str">
        <f>VLOOKUP(D36,دپارتمان!A:B,2,0)</f>
        <v>D004</v>
      </c>
      <c r="K36" t="str">
        <f>VLOOKUP(F36,'واحد سنجش'!A:B,2,0)</f>
        <v>U001</v>
      </c>
    </row>
    <row r="37" spans="1:11" x14ac:dyDescent="0.25">
      <c r="A37" t="s">
        <v>59</v>
      </c>
      <c r="B37" t="s">
        <v>8</v>
      </c>
      <c r="C37" t="s">
        <v>99</v>
      </c>
      <c r="D37" t="s">
        <v>61</v>
      </c>
      <c r="E37" t="s">
        <v>62</v>
      </c>
      <c r="F37" t="s">
        <v>12</v>
      </c>
      <c r="G37" t="s">
        <v>100</v>
      </c>
      <c r="H37" t="str">
        <f>VLOOKUP(E37,منظر!A:B,2,0)</f>
        <v>V003</v>
      </c>
      <c r="I37" t="str">
        <f>VLOOKUP(A37,استراتژی!A:B,2,0)</f>
        <v>S006</v>
      </c>
      <c r="J37" t="str">
        <f>VLOOKUP(D37,دپارتمان!A:B,2,0)</f>
        <v>D004</v>
      </c>
      <c r="K37" t="str">
        <f>VLOOKUP(F37,'واحد سنجش'!A:B,2,0)</f>
        <v>U001</v>
      </c>
    </row>
    <row r="38" spans="1:11" x14ac:dyDescent="0.25">
      <c r="A38" t="s">
        <v>59</v>
      </c>
      <c r="B38" t="s">
        <v>53</v>
      </c>
      <c r="C38" t="s">
        <v>101</v>
      </c>
      <c r="D38" t="s">
        <v>61</v>
      </c>
      <c r="E38" t="s">
        <v>62</v>
      </c>
      <c r="F38" t="s">
        <v>79</v>
      </c>
      <c r="G38" t="s">
        <v>102</v>
      </c>
      <c r="H38" t="str">
        <f>VLOOKUP(E38,منظر!A:B,2,0)</f>
        <v>V003</v>
      </c>
      <c r="I38" t="str">
        <f>VLOOKUP(A38,استراتژی!A:B,2,0)</f>
        <v>S006</v>
      </c>
      <c r="J38" t="str">
        <f>VLOOKUP(D38,دپارتمان!A:B,2,0)</f>
        <v>D004</v>
      </c>
      <c r="K38" t="str">
        <f>VLOOKUP(F38,'واحد سنجش'!A:B,2,0)</f>
        <v>U006</v>
      </c>
    </row>
    <row r="39" spans="1:11" x14ac:dyDescent="0.25">
      <c r="A39" t="s">
        <v>14</v>
      </c>
      <c r="B39" t="s">
        <v>53</v>
      </c>
      <c r="C39" t="s">
        <v>103</v>
      </c>
      <c r="D39" t="s">
        <v>61</v>
      </c>
      <c r="E39" t="s">
        <v>11</v>
      </c>
      <c r="F39" t="s">
        <v>18</v>
      </c>
      <c r="G39" t="s">
        <v>104</v>
      </c>
      <c r="H39" t="str">
        <f>VLOOKUP(E39,منظر!A:B,2,0)</f>
        <v>V001</v>
      </c>
      <c r="I39" t="str">
        <f>VLOOKUP(A39,استراتژی!A:B,2,0)</f>
        <v>S002</v>
      </c>
      <c r="J39" t="str">
        <f>VLOOKUP(D39,دپارتمان!A:B,2,0)</f>
        <v>D004</v>
      </c>
      <c r="K39" t="str">
        <f>VLOOKUP(F39,'واحد سنجش'!A:B,2,0)</f>
        <v>U002</v>
      </c>
    </row>
    <row r="40" spans="1:11" x14ac:dyDescent="0.25">
      <c r="A40" t="s">
        <v>105</v>
      </c>
      <c r="B40" t="s">
        <v>8</v>
      </c>
      <c r="C40" t="s">
        <v>106</v>
      </c>
      <c r="D40" t="s">
        <v>107</v>
      </c>
      <c r="E40" t="s">
        <v>107</v>
      </c>
      <c r="F40" t="s">
        <v>12</v>
      </c>
      <c r="G40" t="s">
        <v>108</v>
      </c>
      <c r="H40" t="str">
        <f>VLOOKUP(E40,منظر!A:B,2,0)</f>
        <v>V004</v>
      </c>
      <c r="I40" t="str">
        <f>VLOOKUP(A40,استراتژی!A:B,2,0)</f>
        <v>S007</v>
      </c>
      <c r="J40" t="str">
        <f>VLOOKUP(D40,دپارتمان!A:B,2,0)</f>
        <v>D005</v>
      </c>
      <c r="K40" t="str">
        <f>VLOOKUP(F40,'واحد سنجش'!A:B,2,0)</f>
        <v>U001</v>
      </c>
    </row>
    <row r="41" spans="1:11" x14ac:dyDescent="0.25">
      <c r="A41" t="s">
        <v>14</v>
      </c>
      <c r="B41" t="s">
        <v>53</v>
      </c>
      <c r="C41" t="s">
        <v>109</v>
      </c>
      <c r="D41" t="s">
        <v>110</v>
      </c>
      <c r="E41" t="s">
        <v>11</v>
      </c>
      <c r="F41" t="s">
        <v>18</v>
      </c>
      <c r="G41" t="s">
        <v>111</v>
      </c>
      <c r="H41" t="str">
        <f>VLOOKUP(E41,منظر!A:B,2,0)</f>
        <v>V001</v>
      </c>
      <c r="I41" t="str">
        <f>VLOOKUP(A41,استراتژی!A:B,2,0)</f>
        <v>S002</v>
      </c>
      <c r="J41" t="str">
        <f>VLOOKUP(D41,دپارتمان!A:B,2,0)</f>
        <v>D006</v>
      </c>
      <c r="K41" t="str">
        <f>VLOOKUP(F41,'واحد سنجش'!A:B,2,0)</f>
        <v>U002</v>
      </c>
    </row>
    <row r="42" spans="1:11" x14ac:dyDescent="0.25">
      <c r="A42" t="s">
        <v>14</v>
      </c>
      <c r="B42" t="s">
        <v>53</v>
      </c>
      <c r="C42" t="s">
        <v>112</v>
      </c>
      <c r="D42" t="s">
        <v>110</v>
      </c>
      <c r="E42" t="s">
        <v>11</v>
      </c>
      <c r="F42" t="s">
        <v>18</v>
      </c>
      <c r="G42" t="s">
        <v>113</v>
      </c>
      <c r="H42" t="str">
        <f>VLOOKUP(E42,منظر!A:B,2,0)</f>
        <v>V001</v>
      </c>
      <c r="I42" t="str">
        <f>VLOOKUP(A42,استراتژی!A:B,2,0)</f>
        <v>S002</v>
      </c>
      <c r="J42" t="str">
        <f>VLOOKUP(D42,دپارتمان!A:B,2,0)</f>
        <v>D006</v>
      </c>
      <c r="K42" t="str">
        <f>VLOOKUP(F42,'واحد سنجش'!A:B,2,0)</f>
        <v>U002</v>
      </c>
    </row>
    <row r="43" spans="1:11" x14ac:dyDescent="0.25">
      <c r="A43" t="s">
        <v>114</v>
      </c>
      <c r="B43" t="s">
        <v>8</v>
      </c>
      <c r="C43" t="s">
        <v>115</v>
      </c>
      <c r="D43" t="s">
        <v>110</v>
      </c>
      <c r="E43" t="s">
        <v>107</v>
      </c>
      <c r="F43" t="s">
        <v>116</v>
      </c>
      <c r="G43" t="s">
        <v>117</v>
      </c>
      <c r="H43" t="str">
        <f>VLOOKUP(E43,منظر!A:B,2,0)</f>
        <v>V004</v>
      </c>
      <c r="I43" t="str">
        <f>VLOOKUP(A43,استراتژی!A:B,2,0)</f>
        <v>S008</v>
      </c>
      <c r="J43" t="str">
        <f>VLOOKUP(D43,دپارتمان!A:B,2,0)</f>
        <v>D006</v>
      </c>
      <c r="K43" t="str">
        <f>VLOOKUP(F43,'واحد سنجش'!A:B,2,0)</f>
        <v>U007</v>
      </c>
    </row>
    <row r="44" spans="1:11" x14ac:dyDescent="0.25">
      <c r="A44" t="s">
        <v>118</v>
      </c>
      <c r="B44" t="s">
        <v>8</v>
      </c>
      <c r="C44" t="s">
        <v>119</v>
      </c>
      <c r="D44" t="s">
        <v>10</v>
      </c>
      <c r="E44" t="s">
        <v>11</v>
      </c>
      <c r="F44" t="s">
        <v>12</v>
      </c>
      <c r="G44" t="s">
        <v>120</v>
      </c>
      <c r="H44" t="str">
        <f>VLOOKUP(E44,منظر!A:B,2,0)</f>
        <v>V001</v>
      </c>
      <c r="I44" t="str">
        <f>VLOOKUP(A44,استراتژی!A:B,2,0)</f>
        <v>S009</v>
      </c>
      <c r="J44" t="str">
        <f>VLOOKUP(D44,دپارتمان!A:B,2,0)</f>
        <v>D001</v>
      </c>
      <c r="K44" t="str">
        <f>VLOOKUP(F44,'واحد سنجش'!A:B,2,0)</f>
        <v>U001</v>
      </c>
    </row>
    <row r="45" spans="1:11" x14ac:dyDescent="0.25">
      <c r="A45" t="s">
        <v>14</v>
      </c>
      <c r="B45" t="s">
        <v>53</v>
      </c>
      <c r="C45" t="s">
        <v>121</v>
      </c>
      <c r="D45" t="s">
        <v>122</v>
      </c>
      <c r="E45" t="s">
        <v>11</v>
      </c>
      <c r="F45" t="s">
        <v>12</v>
      </c>
      <c r="G45" t="s">
        <v>123</v>
      </c>
      <c r="H45" t="str">
        <f>VLOOKUP(E45,منظر!A:B,2,0)</f>
        <v>V001</v>
      </c>
      <c r="I45" t="str">
        <f>VLOOKUP(A45,استراتژی!A:B,2,0)</f>
        <v>S002</v>
      </c>
      <c r="J45" t="str">
        <f>VLOOKUP(D45,دپارتمان!A:B,2,0)</f>
        <v>D007</v>
      </c>
      <c r="K45" t="str">
        <f>VLOOKUP(F45,'واحد سنجش'!A:B,2,0)</f>
        <v>U001</v>
      </c>
    </row>
    <row r="46" spans="1:11" x14ac:dyDescent="0.25">
      <c r="A46" t="s">
        <v>14</v>
      </c>
      <c r="B46" t="s">
        <v>53</v>
      </c>
      <c r="C46" t="s">
        <v>124</v>
      </c>
      <c r="D46" t="s">
        <v>10</v>
      </c>
      <c r="E46" t="s">
        <v>11</v>
      </c>
      <c r="F46" t="s">
        <v>12</v>
      </c>
      <c r="G46" t="s">
        <v>125</v>
      </c>
      <c r="H46" t="str">
        <f>VLOOKUP(E46,منظر!A:B,2,0)</f>
        <v>V001</v>
      </c>
      <c r="I46" t="str">
        <f>VLOOKUP(A46,استراتژی!A:B,2,0)</f>
        <v>S002</v>
      </c>
      <c r="J46" t="str">
        <f>VLOOKUP(D46,دپارتمان!A:B,2,0)</f>
        <v>D001</v>
      </c>
      <c r="K46" t="str">
        <f>VLOOKUP(F46,'واحد سنجش'!A:B,2,0)</f>
        <v>U001</v>
      </c>
    </row>
    <row r="47" spans="1:11" x14ac:dyDescent="0.25">
      <c r="A47" t="s">
        <v>20</v>
      </c>
      <c r="B47" t="s">
        <v>8</v>
      </c>
      <c r="C47" t="s">
        <v>126</v>
      </c>
      <c r="D47" t="s">
        <v>127</v>
      </c>
      <c r="E47" t="s">
        <v>23</v>
      </c>
      <c r="F47" t="s">
        <v>128</v>
      </c>
      <c r="G47" t="s">
        <v>129</v>
      </c>
      <c r="H47" t="str">
        <f>VLOOKUP(E47,منظر!A:B,2,0)</f>
        <v>V002</v>
      </c>
      <c r="I47" t="str">
        <f>VLOOKUP(A47,استراتژی!A:B,2,0)</f>
        <v>S003</v>
      </c>
      <c r="J47" t="str">
        <f>VLOOKUP(D47,دپارتمان!A:B,2,0)</f>
        <v>D008</v>
      </c>
      <c r="K47" t="str">
        <f>VLOOKUP(F47,'واحد سنجش'!A:B,2,0)</f>
        <v>U008</v>
      </c>
    </row>
    <row r="48" spans="1:11" x14ac:dyDescent="0.25">
      <c r="A48" t="s">
        <v>20</v>
      </c>
      <c r="B48" t="s">
        <v>8</v>
      </c>
      <c r="C48" t="s">
        <v>130</v>
      </c>
      <c r="D48" t="s">
        <v>127</v>
      </c>
      <c r="E48" t="s">
        <v>23</v>
      </c>
      <c r="F48" t="s">
        <v>128</v>
      </c>
      <c r="G48" t="s">
        <v>131</v>
      </c>
      <c r="H48" t="str">
        <f>VLOOKUP(E48,منظر!A:B,2,0)</f>
        <v>V002</v>
      </c>
      <c r="I48" t="str">
        <f>VLOOKUP(A48,استراتژی!A:B,2,0)</f>
        <v>S003</v>
      </c>
      <c r="J48" t="str">
        <f>VLOOKUP(D48,دپارتمان!A:B,2,0)</f>
        <v>D008</v>
      </c>
      <c r="K48" t="str">
        <f>VLOOKUP(F48,'واحد سنجش'!A:B,2,0)</f>
        <v>U008</v>
      </c>
    </row>
    <row r="49" spans="1:11" x14ac:dyDescent="0.25">
      <c r="A49" t="s">
        <v>20</v>
      </c>
      <c r="B49" t="s">
        <v>8</v>
      </c>
      <c r="C49" t="s">
        <v>132</v>
      </c>
      <c r="D49" t="s">
        <v>127</v>
      </c>
      <c r="E49" t="s">
        <v>23</v>
      </c>
      <c r="F49" t="s">
        <v>128</v>
      </c>
      <c r="G49" t="s">
        <v>133</v>
      </c>
      <c r="H49" t="str">
        <f>VLOOKUP(E49,منظر!A:B,2,0)</f>
        <v>V002</v>
      </c>
      <c r="I49" t="str">
        <f>VLOOKUP(A49,استراتژی!A:B,2,0)</f>
        <v>S003</v>
      </c>
      <c r="J49" t="str">
        <f>VLOOKUP(D49,دپارتمان!A:B,2,0)</f>
        <v>D008</v>
      </c>
      <c r="K49" t="str">
        <f>VLOOKUP(F49,'واحد سنجش'!A:B,2,0)</f>
        <v>U008</v>
      </c>
    </row>
    <row r="50" spans="1:11" x14ac:dyDescent="0.25">
      <c r="A50" t="s">
        <v>20</v>
      </c>
      <c r="B50" t="s">
        <v>8</v>
      </c>
      <c r="C50" t="s">
        <v>134</v>
      </c>
      <c r="D50" t="s">
        <v>127</v>
      </c>
      <c r="E50" t="s">
        <v>23</v>
      </c>
      <c r="F50" t="s">
        <v>128</v>
      </c>
      <c r="G50" t="s">
        <v>135</v>
      </c>
      <c r="H50" t="str">
        <f>VLOOKUP(E50,منظر!A:B,2,0)</f>
        <v>V002</v>
      </c>
      <c r="I50" t="str">
        <f>VLOOKUP(A50,استراتژی!A:B,2,0)</f>
        <v>S003</v>
      </c>
      <c r="J50" t="str">
        <f>VLOOKUP(D50,دپارتمان!A:B,2,0)</f>
        <v>D008</v>
      </c>
      <c r="K50" t="str">
        <f>VLOOKUP(F50,'واحد سنجش'!A:B,2,0)</f>
        <v>U008</v>
      </c>
    </row>
    <row r="51" spans="1:11" x14ac:dyDescent="0.25">
      <c r="A51" t="s">
        <v>20</v>
      </c>
      <c r="B51" t="s">
        <v>8</v>
      </c>
      <c r="C51" t="s">
        <v>136</v>
      </c>
      <c r="D51" t="s">
        <v>127</v>
      </c>
      <c r="E51" t="s">
        <v>23</v>
      </c>
      <c r="F51" t="s">
        <v>128</v>
      </c>
      <c r="G51" t="s">
        <v>137</v>
      </c>
      <c r="H51" t="str">
        <f>VLOOKUP(E51,منظر!A:B,2,0)</f>
        <v>V002</v>
      </c>
      <c r="I51" t="str">
        <f>VLOOKUP(A51,استراتژی!A:B,2,0)</f>
        <v>S003</v>
      </c>
      <c r="J51" t="str">
        <f>VLOOKUP(D51,دپارتمان!A:B,2,0)</f>
        <v>D008</v>
      </c>
      <c r="K51" t="str">
        <f>VLOOKUP(F51,'واحد سنجش'!A:B,2,0)</f>
        <v>U008</v>
      </c>
    </row>
    <row r="52" spans="1:11" x14ac:dyDescent="0.25">
      <c r="A52" t="s">
        <v>20</v>
      </c>
      <c r="B52" t="s">
        <v>8</v>
      </c>
      <c r="C52" t="s">
        <v>138</v>
      </c>
      <c r="D52" t="s">
        <v>127</v>
      </c>
      <c r="E52" t="s">
        <v>23</v>
      </c>
      <c r="F52" t="s">
        <v>128</v>
      </c>
      <c r="G52" t="s">
        <v>139</v>
      </c>
      <c r="H52" t="str">
        <f>VLOOKUP(E52,منظر!A:B,2,0)</f>
        <v>V002</v>
      </c>
      <c r="I52" t="str">
        <f>VLOOKUP(A52,استراتژی!A:B,2,0)</f>
        <v>S003</v>
      </c>
      <c r="J52" t="str">
        <f>VLOOKUP(D52,دپارتمان!A:B,2,0)</f>
        <v>D008</v>
      </c>
      <c r="K52" t="str">
        <f>VLOOKUP(F52,'واحد سنجش'!A:B,2,0)</f>
        <v>U008</v>
      </c>
    </row>
    <row r="53" spans="1:11" x14ac:dyDescent="0.25">
      <c r="A53" t="s">
        <v>20</v>
      </c>
      <c r="B53" t="s">
        <v>8</v>
      </c>
      <c r="C53" t="s">
        <v>140</v>
      </c>
      <c r="D53" t="s">
        <v>127</v>
      </c>
      <c r="E53" t="s">
        <v>23</v>
      </c>
      <c r="F53" t="s">
        <v>128</v>
      </c>
      <c r="G53" t="s">
        <v>141</v>
      </c>
      <c r="H53" t="str">
        <f>VLOOKUP(E53,منظر!A:B,2,0)</f>
        <v>V002</v>
      </c>
      <c r="I53" t="str">
        <f>VLOOKUP(A53,استراتژی!A:B,2,0)</f>
        <v>S003</v>
      </c>
      <c r="J53" t="str">
        <f>VLOOKUP(D53,دپارتمان!A:B,2,0)</f>
        <v>D008</v>
      </c>
      <c r="K53" t="str">
        <f>VLOOKUP(F53,'واحد سنجش'!A:B,2,0)</f>
        <v>U008</v>
      </c>
    </row>
    <row r="54" spans="1:11" x14ac:dyDescent="0.25">
      <c r="A54" t="s">
        <v>20</v>
      </c>
      <c r="B54" t="s">
        <v>8</v>
      </c>
      <c r="C54" t="s">
        <v>142</v>
      </c>
      <c r="D54" t="s">
        <v>127</v>
      </c>
      <c r="E54" t="s">
        <v>23</v>
      </c>
      <c r="F54" t="s">
        <v>128</v>
      </c>
      <c r="G54" t="s">
        <v>143</v>
      </c>
      <c r="H54" t="str">
        <f>VLOOKUP(E54,منظر!A:B,2,0)</f>
        <v>V002</v>
      </c>
      <c r="I54" t="str">
        <f>VLOOKUP(A54,استراتژی!A:B,2,0)</f>
        <v>S003</v>
      </c>
      <c r="J54" t="str">
        <f>VLOOKUP(D54,دپارتمان!A:B,2,0)</f>
        <v>D008</v>
      </c>
      <c r="K54" t="str">
        <f>VLOOKUP(F54,'واحد سنجش'!A:B,2,0)</f>
        <v>U008</v>
      </c>
    </row>
    <row r="55" spans="1:11" x14ac:dyDescent="0.25">
      <c r="A55" t="s">
        <v>14</v>
      </c>
      <c r="B55" t="s">
        <v>53</v>
      </c>
      <c r="C55" t="s">
        <v>144</v>
      </c>
      <c r="D55" t="s">
        <v>127</v>
      </c>
      <c r="E55" t="s">
        <v>11</v>
      </c>
      <c r="F55" t="s">
        <v>128</v>
      </c>
      <c r="G55" t="s">
        <v>145</v>
      </c>
      <c r="H55" t="str">
        <f>VLOOKUP(E55,منظر!A:B,2,0)</f>
        <v>V001</v>
      </c>
      <c r="I55" t="str">
        <f>VLOOKUP(A55,استراتژی!A:B,2,0)</f>
        <v>S002</v>
      </c>
      <c r="J55" t="str">
        <f>VLOOKUP(D55,دپارتمان!A:B,2,0)</f>
        <v>D008</v>
      </c>
      <c r="K55" t="str">
        <f>VLOOKUP(F55,'واحد سنجش'!A:B,2,0)</f>
        <v>U008</v>
      </c>
    </row>
    <row r="56" spans="1:11" x14ac:dyDescent="0.25">
      <c r="A56" t="s">
        <v>14</v>
      </c>
      <c r="B56" t="s">
        <v>53</v>
      </c>
      <c r="C56" t="s">
        <v>146</v>
      </c>
      <c r="D56" t="s">
        <v>10</v>
      </c>
      <c r="E56" t="s">
        <v>11</v>
      </c>
      <c r="F56" t="s">
        <v>12</v>
      </c>
      <c r="G56" t="s">
        <v>147</v>
      </c>
      <c r="H56" t="str">
        <f>VLOOKUP(E56,منظر!A:B,2,0)</f>
        <v>V001</v>
      </c>
      <c r="I56" t="str">
        <f>VLOOKUP(A56,استراتژی!A:B,2,0)</f>
        <v>S002</v>
      </c>
      <c r="J56" t="str">
        <f>VLOOKUP(D56,دپارتمان!A:B,2,0)</f>
        <v>D001</v>
      </c>
      <c r="K56" t="str">
        <f>VLOOKUP(F56,'واحد سنجش'!A:B,2,0)</f>
        <v>U001</v>
      </c>
    </row>
    <row r="57" spans="1:11" x14ac:dyDescent="0.25">
      <c r="A57" t="s">
        <v>118</v>
      </c>
      <c r="B57" t="s">
        <v>53</v>
      </c>
      <c r="C57" t="s">
        <v>148</v>
      </c>
      <c r="D57" t="s">
        <v>122</v>
      </c>
      <c r="E57" t="s">
        <v>11</v>
      </c>
      <c r="F57" t="s">
        <v>12</v>
      </c>
      <c r="G57" t="s">
        <v>149</v>
      </c>
      <c r="H57" t="str">
        <f>VLOOKUP(E57,منظر!A:B,2,0)</f>
        <v>V001</v>
      </c>
      <c r="I57" t="str">
        <f>VLOOKUP(A57,استراتژی!A:B,2,0)</f>
        <v>S009</v>
      </c>
      <c r="J57" t="str">
        <f>VLOOKUP(D57,دپارتمان!A:B,2,0)</f>
        <v>D007</v>
      </c>
      <c r="K57" t="str">
        <f>VLOOKUP(F57,'واحد سنجش'!A:B,2,0)</f>
        <v>U001</v>
      </c>
    </row>
    <row r="58" spans="1:11" x14ac:dyDescent="0.25">
      <c r="A58" t="s">
        <v>118</v>
      </c>
      <c r="B58" t="s">
        <v>8</v>
      </c>
      <c r="C58" t="s">
        <v>150</v>
      </c>
      <c r="D58" t="s">
        <v>107</v>
      </c>
      <c r="E58" t="s">
        <v>11</v>
      </c>
      <c r="F58" t="s">
        <v>12</v>
      </c>
      <c r="G58" t="s">
        <v>151</v>
      </c>
      <c r="H58" t="str">
        <f>VLOOKUP(E58,منظر!A:B,2,0)</f>
        <v>V001</v>
      </c>
      <c r="I58" t="str">
        <f>VLOOKUP(A58,استراتژی!A:B,2,0)</f>
        <v>S009</v>
      </c>
      <c r="J58" t="str">
        <f>VLOOKUP(D58,دپارتمان!A:B,2,0)</f>
        <v>D005</v>
      </c>
      <c r="K58" t="str">
        <f>VLOOKUP(F58,'واحد سنجش'!A:B,2,0)</f>
        <v>U001</v>
      </c>
    </row>
    <row r="59" spans="1:11" x14ac:dyDescent="0.25">
      <c r="A59" t="s">
        <v>118</v>
      </c>
      <c r="B59" t="s">
        <v>53</v>
      </c>
      <c r="C59" t="s">
        <v>152</v>
      </c>
      <c r="D59" t="s">
        <v>107</v>
      </c>
      <c r="E59" t="s">
        <v>11</v>
      </c>
      <c r="F59" t="s">
        <v>153</v>
      </c>
      <c r="G59" t="s">
        <v>154</v>
      </c>
      <c r="H59" t="str">
        <f>VLOOKUP(E59,منظر!A:B,2,0)</f>
        <v>V001</v>
      </c>
      <c r="I59" t="str">
        <f>VLOOKUP(A59,استراتژی!A:B,2,0)</f>
        <v>S009</v>
      </c>
      <c r="J59" t="str">
        <f>VLOOKUP(D59,دپارتمان!A:B,2,0)</f>
        <v>D005</v>
      </c>
      <c r="K59" t="str">
        <f>VLOOKUP(F59,'واحد سنجش'!A:B,2,0)</f>
        <v>U009</v>
      </c>
    </row>
    <row r="60" spans="1:11" x14ac:dyDescent="0.25">
      <c r="A60" t="s">
        <v>118</v>
      </c>
      <c r="B60" t="s">
        <v>53</v>
      </c>
      <c r="C60" t="s">
        <v>155</v>
      </c>
      <c r="D60" t="s">
        <v>107</v>
      </c>
      <c r="E60" t="s">
        <v>11</v>
      </c>
      <c r="F60" t="s">
        <v>153</v>
      </c>
      <c r="G60" t="s">
        <v>156</v>
      </c>
      <c r="H60" t="str">
        <f>VLOOKUP(E60,منظر!A:B,2,0)</f>
        <v>V001</v>
      </c>
      <c r="I60" t="str">
        <f>VLOOKUP(A60,استراتژی!A:B,2,0)</f>
        <v>S009</v>
      </c>
      <c r="J60" t="str">
        <f>VLOOKUP(D60,دپارتمان!A:B,2,0)</f>
        <v>D005</v>
      </c>
      <c r="K60" t="str">
        <f>VLOOKUP(F60,'واحد سنجش'!A:B,2,0)</f>
        <v>U009</v>
      </c>
    </row>
    <row r="61" spans="1:11" x14ac:dyDescent="0.25">
      <c r="A61" t="s">
        <v>118</v>
      </c>
      <c r="B61" t="s">
        <v>53</v>
      </c>
      <c r="C61" t="s">
        <v>157</v>
      </c>
      <c r="D61" t="s">
        <v>107</v>
      </c>
      <c r="E61" t="s">
        <v>11</v>
      </c>
      <c r="F61" t="s">
        <v>153</v>
      </c>
      <c r="G61" t="s">
        <v>158</v>
      </c>
      <c r="H61" t="str">
        <f>VLOOKUP(E61,منظر!A:B,2,0)</f>
        <v>V001</v>
      </c>
      <c r="I61" t="str">
        <f>VLOOKUP(A61,استراتژی!A:B,2,0)</f>
        <v>S009</v>
      </c>
      <c r="J61" t="str">
        <f>VLOOKUP(D61,دپارتمان!A:B,2,0)</f>
        <v>D005</v>
      </c>
      <c r="K61" t="str">
        <f>VLOOKUP(F61,'واحد سنجش'!A:B,2,0)</f>
        <v>U009</v>
      </c>
    </row>
    <row r="62" spans="1:11" x14ac:dyDescent="0.25">
      <c r="A62" t="s">
        <v>105</v>
      </c>
      <c r="B62" t="s">
        <v>15</v>
      </c>
      <c r="C62" t="s">
        <v>159</v>
      </c>
      <c r="D62" t="s">
        <v>107</v>
      </c>
      <c r="E62" t="s">
        <v>107</v>
      </c>
      <c r="F62" t="s">
        <v>153</v>
      </c>
      <c r="G62" t="s">
        <v>160</v>
      </c>
      <c r="H62" t="str">
        <f>VLOOKUP(E62,منظر!A:B,2,0)</f>
        <v>V004</v>
      </c>
      <c r="I62" t="str">
        <f>VLOOKUP(A62,استراتژی!A:B,2,0)</f>
        <v>S007</v>
      </c>
      <c r="J62" t="str">
        <f>VLOOKUP(D62,دپارتمان!A:B,2,0)</f>
        <v>D005</v>
      </c>
      <c r="K62" t="str">
        <f>VLOOKUP(F62,'واحد سنجش'!A:B,2,0)</f>
        <v>U009</v>
      </c>
    </row>
    <row r="63" spans="1:11" x14ac:dyDescent="0.25">
      <c r="A63" t="s">
        <v>105</v>
      </c>
      <c r="B63" t="s">
        <v>8</v>
      </c>
      <c r="C63" t="s">
        <v>161</v>
      </c>
      <c r="D63" t="s">
        <v>107</v>
      </c>
      <c r="E63" t="s">
        <v>107</v>
      </c>
      <c r="F63" t="s">
        <v>18</v>
      </c>
      <c r="G63" t="s">
        <v>162</v>
      </c>
      <c r="H63" t="str">
        <f>VLOOKUP(E63,منظر!A:B,2,0)</f>
        <v>V004</v>
      </c>
      <c r="I63" t="str">
        <f>VLOOKUP(A63,استراتژی!A:B,2,0)</f>
        <v>S007</v>
      </c>
      <c r="J63" t="str">
        <f>VLOOKUP(D63,دپارتمان!A:B,2,0)</f>
        <v>D005</v>
      </c>
      <c r="K63" t="str">
        <f>VLOOKUP(F63,'واحد سنجش'!A:B,2,0)</f>
        <v>U002</v>
      </c>
    </row>
    <row r="64" spans="1:11" x14ac:dyDescent="0.25">
      <c r="A64" t="s">
        <v>105</v>
      </c>
      <c r="B64" t="s">
        <v>53</v>
      </c>
      <c r="C64" t="s">
        <v>163</v>
      </c>
      <c r="D64" t="s">
        <v>107</v>
      </c>
      <c r="E64" t="s">
        <v>107</v>
      </c>
      <c r="F64" t="s">
        <v>153</v>
      </c>
      <c r="G64" t="s">
        <v>164</v>
      </c>
      <c r="H64" t="str">
        <f>VLOOKUP(E64,منظر!A:B,2,0)</f>
        <v>V004</v>
      </c>
      <c r="I64" t="str">
        <f>VLOOKUP(A64,استراتژی!A:B,2,0)</f>
        <v>S007</v>
      </c>
      <c r="J64" t="str">
        <f>VLOOKUP(D64,دپارتمان!A:B,2,0)</f>
        <v>D005</v>
      </c>
      <c r="K64" t="str">
        <f>VLOOKUP(F64,'واحد سنجش'!A:B,2,0)</f>
        <v>U009</v>
      </c>
    </row>
    <row r="65" spans="1:11" x14ac:dyDescent="0.25">
      <c r="A65" t="s">
        <v>14</v>
      </c>
      <c r="B65" t="s">
        <v>53</v>
      </c>
      <c r="C65" t="s">
        <v>165</v>
      </c>
      <c r="D65" t="s">
        <v>107</v>
      </c>
      <c r="E65" t="s">
        <v>11</v>
      </c>
      <c r="F65" t="s">
        <v>18</v>
      </c>
      <c r="G65" t="s">
        <v>166</v>
      </c>
      <c r="H65" t="str">
        <f>VLOOKUP(E65,منظر!A:B,2,0)</f>
        <v>V001</v>
      </c>
      <c r="I65" t="str">
        <f>VLOOKUP(A65,استراتژی!A:B,2,0)</f>
        <v>S002</v>
      </c>
      <c r="J65" t="str">
        <f>VLOOKUP(D65,دپارتمان!A:B,2,0)</f>
        <v>D005</v>
      </c>
      <c r="K65" t="str">
        <f>VLOOKUP(F65,'واحد سنجش'!A:B,2,0)</f>
        <v>U002</v>
      </c>
    </row>
    <row r="66" spans="1:11" x14ac:dyDescent="0.25">
      <c r="A66" t="s">
        <v>167</v>
      </c>
      <c r="B66" t="s">
        <v>53</v>
      </c>
      <c r="C66" t="s">
        <v>168</v>
      </c>
      <c r="D66" t="s">
        <v>107</v>
      </c>
      <c r="E66" t="s">
        <v>62</v>
      </c>
      <c r="F66" t="s">
        <v>153</v>
      </c>
      <c r="G66" t="s">
        <v>169</v>
      </c>
      <c r="H66" t="str">
        <f>VLOOKUP(E66,منظر!A:B,2,0)</f>
        <v>V003</v>
      </c>
      <c r="I66" t="str">
        <f>VLOOKUP(A66,استراتژی!A:B,2,0)</f>
        <v>S010</v>
      </c>
      <c r="J66" t="str">
        <f>VLOOKUP(D66,دپارتمان!A:B,2,0)</f>
        <v>D005</v>
      </c>
      <c r="K66" t="str">
        <f>VLOOKUP(F66,'واحد سنجش'!A:B,2,0)</f>
        <v>U009</v>
      </c>
    </row>
    <row r="67" spans="1:11" x14ac:dyDescent="0.25">
      <c r="A67" t="s">
        <v>167</v>
      </c>
      <c r="B67" t="s">
        <v>53</v>
      </c>
      <c r="C67" t="s">
        <v>170</v>
      </c>
      <c r="D67" t="s">
        <v>107</v>
      </c>
      <c r="E67" t="s">
        <v>62</v>
      </c>
      <c r="F67" t="s">
        <v>153</v>
      </c>
      <c r="G67" t="s">
        <v>171</v>
      </c>
      <c r="H67" t="str">
        <f>VLOOKUP(E67,منظر!A:B,2,0)</f>
        <v>V003</v>
      </c>
      <c r="I67" t="str">
        <f>VLOOKUP(A67,استراتژی!A:B,2,0)</f>
        <v>S010</v>
      </c>
      <c r="J67" t="str">
        <f>VLOOKUP(D67,دپارتمان!A:B,2,0)</f>
        <v>D005</v>
      </c>
      <c r="K67" t="str">
        <f>VLOOKUP(F67,'واحد سنجش'!A:B,2,0)</f>
        <v>U009</v>
      </c>
    </row>
    <row r="68" spans="1:11" x14ac:dyDescent="0.25">
      <c r="A68" t="s">
        <v>167</v>
      </c>
      <c r="B68" t="s">
        <v>53</v>
      </c>
      <c r="C68" t="s">
        <v>172</v>
      </c>
      <c r="D68" t="s">
        <v>107</v>
      </c>
      <c r="E68" t="s">
        <v>62</v>
      </c>
      <c r="F68" t="s">
        <v>153</v>
      </c>
      <c r="G68" t="s">
        <v>173</v>
      </c>
      <c r="H68" t="str">
        <f>VLOOKUP(E68,منظر!A:B,2,0)</f>
        <v>V003</v>
      </c>
      <c r="I68" t="str">
        <f>VLOOKUP(A68,استراتژی!A:B,2,0)</f>
        <v>S010</v>
      </c>
      <c r="J68" t="str">
        <f>VLOOKUP(D68,دپارتمان!A:B,2,0)</f>
        <v>D005</v>
      </c>
      <c r="K68" t="str">
        <f>VLOOKUP(F68,'واحد سنجش'!A:B,2,0)</f>
        <v>U009</v>
      </c>
    </row>
    <row r="69" spans="1:11" x14ac:dyDescent="0.25">
      <c r="A69" t="s">
        <v>174</v>
      </c>
      <c r="B69" t="s">
        <v>8</v>
      </c>
      <c r="C69" t="s">
        <v>175</v>
      </c>
      <c r="D69" t="s">
        <v>107</v>
      </c>
      <c r="E69" t="s">
        <v>107</v>
      </c>
      <c r="F69" t="s">
        <v>12</v>
      </c>
      <c r="G69" t="s">
        <v>176</v>
      </c>
      <c r="H69" t="str">
        <f>VLOOKUP(E69,منظر!A:B,2,0)</f>
        <v>V004</v>
      </c>
      <c r="I69" t="str">
        <f>VLOOKUP(A69,استراتژی!A:B,2,0)</f>
        <v>S011</v>
      </c>
      <c r="J69" t="str">
        <f>VLOOKUP(D69,دپارتمان!A:B,2,0)</f>
        <v>D005</v>
      </c>
      <c r="K69" t="str">
        <f>VLOOKUP(F69,'واحد سنجش'!A:B,2,0)</f>
        <v>U001</v>
      </c>
    </row>
    <row r="70" spans="1:11" x14ac:dyDescent="0.25">
      <c r="A70" t="s">
        <v>174</v>
      </c>
      <c r="B70" t="s">
        <v>8</v>
      </c>
      <c r="C70" t="s">
        <v>177</v>
      </c>
      <c r="D70" t="s">
        <v>107</v>
      </c>
      <c r="E70" t="s">
        <v>107</v>
      </c>
      <c r="F70" t="s">
        <v>12</v>
      </c>
      <c r="G70" t="s">
        <v>178</v>
      </c>
      <c r="H70" t="str">
        <f>VLOOKUP(E70,منظر!A:B,2,0)</f>
        <v>V004</v>
      </c>
      <c r="I70" t="str">
        <f>VLOOKUP(A70,استراتژی!A:B,2,0)</f>
        <v>S011</v>
      </c>
      <c r="J70" t="str">
        <f>VLOOKUP(D70,دپارتمان!A:B,2,0)</f>
        <v>D005</v>
      </c>
      <c r="K70" t="str">
        <f>VLOOKUP(F70,'واحد سنجش'!A:B,2,0)</f>
        <v>U001</v>
      </c>
    </row>
    <row r="71" spans="1:11" x14ac:dyDescent="0.25">
      <c r="A71" t="s">
        <v>174</v>
      </c>
      <c r="B71" t="s">
        <v>8</v>
      </c>
      <c r="C71" t="s">
        <v>179</v>
      </c>
      <c r="D71" t="s">
        <v>107</v>
      </c>
      <c r="E71" t="s">
        <v>107</v>
      </c>
      <c r="F71" t="s">
        <v>18</v>
      </c>
      <c r="G71" t="s">
        <v>180</v>
      </c>
      <c r="H71" t="str">
        <f>VLOOKUP(E71,منظر!A:B,2,0)</f>
        <v>V004</v>
      </c>
      <c r="I71" t="str">
        <f>VLOOKUP(A71,استراتژی!A:B,2,0)</f>
        <v>S011</v>
      </c>
      <c r="J71" t="str">
        <f>VLOOKUP(D71,دپارتمان!A:B,2,0)</f>
        <v>D005</v>
      </c>
      <c r="K71" t="str">
        <f>VLOOKUP(F71,'واحد سنجش'!A:B,2,0)</f>
        <v>U002</v>
      </c>
    </row>
    <row r="72" spans="1:11" x14ac:dyDescent="0.25">
      <c r="A72" t="s">
        <v>181</v>
      </c>
      <c r="B72" t="s">
        <v>8</v>
      </c>
      <c r="C72" t="s">
        <v>182</v>
      </c>
      <c r="D72" t="s">
        <v>107</v>
      </c>
      <c r="E72" t="s">
        <v>107</v>
      </c>
      <c r="F72" t="s">
        <v>18</v>
      </c>
      <c r="G72" t="s">
        <v>183</v>
      </c>
      <c r="H72" t="str">
        <f>VLOOKUP(E72,منظر!A:B,2,0)</f>
        <v>V004</v>
      </c>
      <c r="I72" t="str">
        <f>VLOOKUP(A72,استراتژی!A:B,2,0)</f>
        <v>S012</v>
      </c>
      <c r="J72" t="str">
        <f>VLOOKUP(D72,دپارتمان!A:B,2,0)</f>
        <v>D005</v>
      </c>
      <c r="K72" t="str">
        <f>VLOOKUP(F72,'واحد سنجش'!A:B,2,0)</f>
        <v>U002</v>
      </c>
    </row>
    <row r="73" spans="1:11" x14ac:dyDescent="0.25">
      <c r="A73" t="s">
        <v>184</v>
      </c>
      <c r="B73" t="s">
        <v>15</v>
      </c>
      <c r="C73" t="s">
        <v>185</v>
      </c>
      <c r="D73" t="s">
        <v>17</v>
      </c>
      <c r="E73" t="s">
        <v>62</v>
      </c>
      <c r="F73" t="s">
        <v>79</v>
      </c>
      <c r="G73" t="s">
        <v>186</v>
      </c>
      <c r="H73" t="str">
        <f>VLOOKUP(E73,منظر!A:B,2,0)</f>
        <v>V003</v>
      </c>
      <c r="I73" t="str">
        <f>VLOOKUP(A73,استراتژی!A:B,2,0)</f>
        <v>S013</v>
      </c>
      <c r="J73" t="str">
        <f>VLOOKUP(D73,دپارتمان!A:B,2,0)</f>
        <v>D002</v>
      </c>
      <c r="K73" t="str">
        <f>VLOOKUP(F73,'واحد سنجش'!A:B,2,0)</f>
        <v>U006</v>
      </c>
    </row>
    <row r="74" spans="1:11" x14ac:dyDescent="0.25">
      <c r="A74" t="s">
        <v>184</v>
      </c>
      <c r="B74" t="s">
        <v>15</v>
      </c>
      <c r="C74" t="s">
        <v>187</v>
      </c>
      <c r="D74" t="s">
        <v>17</v>
      </c>
      <c r="E74" t="s">
        <v>62</v>
      </c>
      <c r="F74" t="s">
        <v>12</v>
      </c>
      <c r="G74" t="s">
        <v>188</v>
      </c>
      <c r="H74" t="str">
        <f>VLOOKUP(E74,منظر!A:B,2,0)</f>
        <v>V003</v>
      </c>
      <c r="I74" t="str">
        <f>VLOOKUP(A74,استراتژی!A:B,2,0)</f>
        <v>S013</v>
      </c>
      <c r="J74" t="str">
        <f>VLOOKUP(D74,دپارتمان!A:B,2,0)</f>
        <v>D002</v>
      </c>
      <c r="K74" t="str">
        <f>VLOOKUP(F74,'واحد سنجش'!A:B,2,0)</f>
        <v>U001</v>
      </c>
    </row>
    <row r="75" spans="1:11" x14ac:dyDescent="0.25">
      <c r="A75" t="s">
        <v>184</v>
      </c>
      <c r="B75" t="s">
        <v>15</v>
      </c>
      <c r="C75" t="s">
        <v>189</v>
      </c>
      <c r="D75" t="s">
        <v>17</v>
      </c>
      <c r="E75" t="s">
        <v>62</v>
      </c>
      <c r="F75" t="s">
        <v>12</v>
      </c>
      <c r="G75" t="s">
        <v>190</v>
      </c>
      <c r="H75" t="str">
        <f>VLOOKUP(E75,منظر!A:B,2,0)</f>
        <v>V003</v>
      </c>
      <c r="I75" t="str">
        <f>VLOOKUP(A75,استراتژی!A:B,2,0)</f>
        <v>S013</v>
      </c>
      <c r="J75" t="str">
        <f>VLOOKUP(D75,دپارتمان!A:B,2,0)</f>
        <v>D002</v>
      </c>
      <c r="K75" t="str">
        <f>VLOOKUP(F75,'واحد سنجش'!A:B,2,0)</f>
        <v>U001</v>
      </c>
    </row>
    <row r="76" spans="1:11" x14ac:dyDescent="0.25">
      <c r="A76" t="s">
        <v>184</v>
      </c>
      <c r="B76" t="s">
        <v>15</v>
      </c>
      <c r="C76" t="s">
        <v>191</v>
      </c>
      <c r="D76" t="s">
        <v>17</v>
      </c>
      <c r="E76" t="s">
        <v>62</v>
      </c>
      <c r="F76" t="s">
        <v>79</v>
      </c>
      <c r="G76" t="s">
        <v>192</v>
      </c>
      <c r="H76" t="str">
        <f>VLOOKUP(E76,منظر!A:B,2,0)</f>
        <v>V003</v>
      </c>
      <c r="I76" t="str">
        <f>VLOOKUP(A76,استراتژی!A:B,2,0)</f>
        <v>S013</v>
      </c>
      <c r="J76" t="str">
        <f>VLOOKUP(D76,دپارتمان!A:B,2,0)</f>
        <v>D002</v>
      </c>
      <c r="K76" t="str">
        <f>VLOOKUP(F76,'واحد سنجش'!A:B,2,0)</f>
        <v>U006</v>
      </c>
    </row>
    <row r="77" spans="1:11" x14ac:dyDescent="0.25">
      <c r="A77" t="s">
        <v>184</v>
      </c>
      <c r="B77" t="s">
        <v>15</v>
      </c>
      <c r="C77" t="s">
        <v>193</v>
      </c>
      <c r="D77" t="s">
        <v>17</v>
      </c>
      <c r="E77" t="s">
        <v>62</v>
      </c>
      <c r="F77" t="s">
        <v>12</v>
      </c>
      <c r="G77" t="s">
        <v>194</v>
      </c>
      <c r="H77" t="str">
        <f>VLOOKUP(E77,منظر!A:B,2,0)</f>
        <v>V003</v>
      </c>
      <c r="I77" t="str">
        <f>VLOOKUP(A77,استراتژی!A:B,2,0)</f>
        <v>S013</v>
      </c>
      <c r="J77" t="str">
        <f>VLOOKUP(D77,دپارتمان!A:B,2,0)</f>
        <v>D002</v>
      </c>
      <c r="K77" t="str">
        <f>VLOOKUP(F77,'واحد سنجش'!A:B,2,0)</f>
        <v>U001</v>
      </c>
    </row>
    <row r="78" spans="1:11" x14ac:dyDescent="0.25">
      <c r="A78" t="s">
        <v>184</v>
      </c>
      <c r="B78" t="s">
        <v>8</v>
      </c>
      <c r="C78" t="s">
        <v>195</v>
      </c>
      <c r="D78" t="s">
        <v>17</v>
      </c>
      <c r="E78" t="s">
        <v>62</v>
      </c>
      <c r="F78" t="s">
        <v>12</v>
      </c>
      <c r="G78" t="s">
        <v>196</v>
      </c>
      <c r="H78" t="str">
        <f>VLOOKUP(E78,منظر!A:B,2,0)</f>
        <v>V003</v>
      </c>
      <c r="I78" t="str">
        <f>VLOOKUP(A78,استراتژی!A:B,2,0)</f>
        <v>S013</v>
      </c>
      <c r="J78" t="str">
        <f>VLOOKUP(D78,دپارتمان!A:B,2,0)</f>
        <v>D002</v>
      </c>
      <c r="K78" t="str">
        <f>VLOOKUP(F78,'واحد سنجش'!A:B,2,0)</f>
        <v>U001</v>
      </c>
    </row>
    <row r="79" spans="1:11" x14ac:dyDescent="0.25">
      <c r="A79" t="s">
        <v>184</v>
      </c>
      <c r="B79" t="s">
        <v>8</v>
      </c>
      <c r="C79" t="s">
        <v>197</v>
      </c>
      <c r="D79" t="s">
        <v>17</v>
      </c>
      <c r="E79" t="s">
        <v>62</v>
      </c>
      <c r="F79" t="s">
        <v>12</v>
      </c>
      <c r="G79" t="s">
        <v>198</v>
      </c>
      <c r="H79" t="str">
        <f>VLOOKUP(E79,منظر!A:B,2,0)</f>
        <v>V003</v>
      </c>
      <c r="I79" t="str">
        <f>VLOOKUP(A79,استراتژی!A:B,2,0)</f>
        <v>S013</v>
      </c>
      <c r="J79" t="str">
        <f>VLOOKUP(D79,دپارتمان!A:B,2,0)</f>
        <v>D002</v>
      </c>
      <c r="K79" t="str">
        <f>VLOOKUP(F79,'واحد سنجش'!A:B,2,0)</f>
        <v>U001</v>
      </c>
    </row>
    <row r="80" spans="1:11" x14ac:dyDescent="0.25">
      <c r="A80" t="s">
        <v>184</v>
      </c>
      <c r="B80" t="s">
        <v>8</v>
      </c>
      <c r="C80" t="s">
        <v>199</v>
      </c>
      <c r="D80" t="s">
        <v>17</v>
      </c>
      <c r="E80" t="s">
        <v>62</v>
      </c>
      <c r="F80" t="s">
        <v>12</v>
      </c>
      <c r="G80" t="s">
        <v>200</v>
      </c>
      <c r="H80" t="str">
        <f>VLOOKUP(E80,منظر!A:B,2,0)</f>
        <v>V003</v>
      </c>
      <c r="I80" t="str">
        <f>VLOOKUP(A80,استراتژی!A:B,2,0)</f>
        <v>S013</v>
      </c>
      <c r="J80" t="str">
        <f>VLOOKUP(D80,دپارتمان!A:B,2,0)</f>
        <v>D002</v>
      </c>
      <c r="K80" t="str">
        <f>VLOOKUP(F80,'واحد سنجش'!A:B,2,0)</f>
        <v>U001</v>
      </c>
    </row>
    <row r="81" spans="1:11" x14ac:dyDescent="0.25">
      <c r="A81" t="s">
        <v>184</v>
      </c>
      <c r="B81" t="s">
        <v>8</v>
      </c>
      <c r="C81" t="s">
        <v>201</v>
      </c>
      <c r="D81" t="s">
        <v>17</v>
      </c>
      <c r="E81" t="s">
        <v>62</v>
      </c>
      <c r="F81" t="s">
        <v>12</v>
      </c>
      <c r="G81" t="s">
        <v>202</v>
      </c>
      <c r="H81" t="str">
        <f>VLOOKUP(E81,منظر!A:B,2,0)</f>
        <v>V003</v>
      </c>
      <c r="I81" t="str">
        <f>VLOOKUP(A81,استراتژی!A:B,2,0)</f>
        <v>S013</v>
      </c>
      <c r="J81" t="str">
        <f>VLOOKUP(D81,دپارتمان!A:B,2,0)</f>
        <v>D002</v>
      </c>
      <c r="K81" t="str">
        <f>VLOOKUP(F81,'واحد سنجش'!A:B,2,0)</f>
        <v>U001</v>
      </c>
    </row>
    <row r="82" spans="1:11" x14ac:dyDescent="0.25">
      <c r="A82" t="s">
        <v>184</v>
      </c>
      <c r="B82" t="s">
        <v>8</v>
      </c>
      <c r="C82" t="s">
        <v>203</v>
      </c>
      <c r="D82" t="s">
        <v>17</v>
      </c>
      <c r="E82" t="s">
        <v>62</v>
      </c>
      <c r="F82" t="s">
        <v>12</v>
      </c>
      <c r="G82" t="s">
        <v>204</v>
      </c>
      <c r="H82" t="str">
        <f>VLOOKUP(E82,منظر!A:B,2,0)</f>
        <v>V003</v>
      </c>
      <c r="I82" t="str">
        <f>VLOOKUP(A82,استراتژی!A:B,2,0)</f>
        <v>S013</v>
      </c>
      <c r="J82" t="str">
        <f>VLOOKUP(D82,دپارتمان!A:B,2,0)</f>
        <v>D002</v>
      </c>
      <c r="K82" t="str">
        <f>VLOOKUP(F82,'واحد سنجش'!A:B,2,0)</f>
        <v>U001</v>
      </c>
    </row>
    <row r="83" spans="1:11" x14ac:dyDescent="0.25">
      <c r="A83" t="s">
        <v>184</v>
      </c>
      <c r="B83" t="s">
        <v>8</v>
      </c>
      <c r="C83" t="s">
        <v>205</v>
      </c>
      <c r="D83" t="s">
        <v>17</v>
      </c>
      <c r="E83" t="s">
        <v>62</v>
      </c>
      <c r="F83" t="s">
        <v>12</v>
      </c>
      <c r="G83" t="s">
        <v>206</v>
      </c>
      <c r="H83" t="str">
        <f>VLOOKUP(E83,منظر!A:B,2,0)</f>
        <v>V003</v>
      </c>
      <c r="I83" t="str">
        <f>VLOOKUP(A83,استراتژی!A:B,2,0)</f>
        <v>S013</v>
      </c>
      <c r="J83" t="str">
        <f>VLOOKUP(D83,دپارتمان!A:B,2,0)</f>
        <v>D002</v>
      </c>
      <c r="K83" t="str">
        <f>VLOOKUP(F83,'واحد سنجش'!A:B,2,0)</f>
        <v>U001</v>
      </c>
    </row>
    <row r="84" spans="1:11" x14ac:dyDescent="0.25">
      <c r="A84" t="s">
        <v>184</v>
      </c>
      <c r="B84" t="s">
        <v>53</v>
      </c>
      <c r="C84" t="s">
        <v>207</v>
      </c>
      <c r="D84" t="s">
        <v>17</v>
      </c>
      <c r="E84" t="s">
        <v>62</v>
      </c>
      <c r="F84" t="s">
        <v>36</v>
      </c>
      <c r="G84" t="s">
        <v>208</v>
      </c>
      <c r="H84" t="str">
        <f>VLOOKUP(E84,منظر!A:B,2,0)</f>
        <v>V003</v>
      </c>
      <c r="I84" t="str">
        <f>VLOOKUP(A84,استراتژی!A:B,2,0)</f>
        <v>S013</v>
      </c>
      <c r="J84" t="str">
        <f>VLOOKUP(D84,دپارتمان!A:B,2,0)</f>
        <v>D002</v>
      </c>
      <c r="K84" t="str">
        <f>VLOOKUP(F84,'واحد سنجش'!A:B,2,0)</f>
        <v>U003</v>
      </c>
    </row>
    <row r="85" spans="1:11" x14ac:dyDescent="0.25">
      <c r="A85" t="s">
        <v>184</v>
      </c>
      <c r="B85" t="s">
        <v>53</v>
      </c>
      <c r="C85" t="s">
        <v>209</v>
      </c>
      <c r="D85" t="s">
        <v>17</v>
      </c>
      <c r="E85" t="s">
        <v>62</v>
      </c>
      <c r="F85" t="s">
        <v>12</v>
      </c>
      <c r="G85" t="s">
        <v>210</v>
      </c>
      <c r="H85" t="str">
        <f>VLOOKUP(E85,منظر!A:B,2,0)</f>
        <v>V003</v>
      </c>
      <c r="I85" t="str">
        <f>VLOOKUP(A85,استراتژی!A:B,2,0)</f>
        <v>S013</v>
      </c>
      <c r="J85" t="str">
        <f>VLOOKUP(D85,دپارتمان!A:B,2,0)</f>
        <v>D002</v>
      </c>
      <c r="K85" t="str">
        <f>VLOOKUP(F85,'واحد سنجش'!A:B,2,0)</f>
        <v>U001</v>
      </c>
    </row>
    <row r="86" spans="1:11" x14ac:dyDescent="0.25">
      <c r="A86" t="s">
        <v>184</v>
      </c>
      <c r="B86" t="s">
        <v>53</v>
      </c>
      <c r="C86" t="s">
        <v>211</v>
      </c>
      <c r="D86" t="s">
        <v>17</v>
      </c>
      <c r="E86" t="s">
        <v>62</v>
      </c>
      <c r="F86" t="s">
        <v>12</v>
      </c>
      <c r="G86" t="s">
        <v>212</v>
      </c>
      <c r="H86" t="str">
        <f>VLOOKUP(E86,منظر!A:B,2,0)</f>
        <v>V003</v>
      </c>
      <c r="I86" t="str">
        <f>VLOOKUP(A86,استراتژی!A:B,2,0)</f>
        <v>S013</v>
      </c>
      <c r="J86" t="str">
        <f>VLOOKUP(D86,دپارتمان!A:B,2,0)</f>
        <v>D002</v>
      </c>
      <c r="K86" t="str">
        <f>VLOOKUP(F86,'واحد سنجش'!A:B,2,0)</f>
        <v>U001</v>
      </c>
    </row>
    <row r="87" spans="1:11" x14ac:dyDescent="0.25">
      <c r="A87" t="s">
        <v>184</v>
      </c>
      <c r="B87" t="s">
        <v>53</v>
      </c>
      <c r="C87" t="s">
        <v>213</v>
      </c>
      <c r="D87" t="s">
        <v>17</v>
      </c>
      <c r="E87" t="s">
        <v>62</v>
      </c>
      <c r="F87" t="s">
        <v>153</v>
      </c>
      <c r="G87" t="s">
        <v>214</v>
      </c>
      <c r="H87" t="str">
        <f>VLOOKUP(E87,منظر!A:B,2,0)</f>
        <v>V003</v>
      </c>
      <c r="I87" t="str">
        <f>VLOOKUP(A87,استراتژی!A:B,2,0)</f>
        <v>S013</v>
      </c>
      <c r="J87" t="str">
        <f>VLOOKUP(D87,دپارتمان!A:B,2,0)</f>
        <v>D002</v>
      </c>
      <c r="K87" t="str">
        <f>VLOOKUP(F87,'واحد سنجش'!A:B,2,0)</f>
        <v>U009</v>
      </c>
    </row>
    <row r="88" spans="1:11" x14ac:dyDescent="0.25">
      <c r="A88" t="s">
        <v>184</v>
      </c>
      <c r="B88" t="s">
        <v>53</v>
      </c>
      <c r="C88" t="s">
        <v>215</v>
      </c>
      <c r="D88" t="s">
        <v>17</v>
      </c>
      <c r="E88" t="s">
        <v>62</v>
      </c>
      <c r="F88" t="s">
        <v>153</v>
      </c>
      <c r="G88" t="s">
        <v>216</v>
      </c>
      <c r="H88" t="str">
        <f>VLOOKUP(E88,منظر!A:B,2,0)</f>
        <v>V003</v>
      </c>
      <c r="I88" t="str">
        <f>VLOOKUP(A88,استراتژی!A:B,2,0)</f>
        <v>S013</v>
      </c>
      <c r="J88" t="str">
        <f>VLOOKUP(D88,دپارتمان!A:B,2,0)</f>
        <v>D002</v>
      </c>
      <c r="K88" t="str">
        <f>VLOOKUP(F88,'واحد سنجش'!A:B,2,0)</f>
        <v>U009</v>
      </c>
    </row>
    <row r="89" spans="1:11" x14ac:dyDescent="0.25">
      <c r="A89" t="s">
        <v>184</v>
      </c>
      <c r="B89" t="s">
        <v>53</v>
      </c>
      <c r="C89" t="s">
        <v>217</v>
      </c>
      <c r="D89" t="s">
        <v>17</v>
      </c>
      <c r="E89" t="s">
        <v>62</v>
      </c>
      <c r="F89" t="s">
        <v>12</v>
      </c>
      <c r="G89" t="s">
        <v>218</v>
      </c>
      <c r="H89" t="str">
        <f>VLOOKUP(E89,منظر!A:B,2,0)</f>
        <v>V003</v>
      </c>
      <c r="I89" t="str">
        <f>VLOOKUP(A89,استراتژی!A:B,2,0)</f>
        <v>S013</v>
      </c>
      <c r="J89" t="str">
        <f>VLOOKUP(D89,دپارتمان!A:B,2,0)</f>
        <v>D002</v>
      </c>
      <c r="K89" t="str">
        <f>VLOOKUP(F89,'واحد سنجش'!A:B,2,0)</f>
        <v>U001</v>
      </c>
    </row>
    <row r="90" spans="1:11" x14ac:dyDescent="0.25">
      <c r="A90" t="s">
        <v>184</v>
      </c>
      <c r="B90" t="s">
        <v>53</v>
      </c>
      <c r="C90" t="s">
        <v>219</v>
      </c>
      <c r="D90" t="s">
        <v>17</v>
      </c>
      <c r="E90" t="s">
        <v>62</v>
      </c>
      <c r="F90" t="s">
        <v>12</v>
      </c>
      <c r="G90" t="s">
        <v>220</v>
      </c>
      <c r="H90" t="str">
        <f>VLOOKUP(E90,منظر!A:B,2,0)</f>
        <v>V003</v>
      </c>
      <c r="I90" t="str">
        <f>VLOOKUP(A90,استراتژی!A:B,2,0)</f>
        <v>S013</v>
      </c>
      <c r="J90" t="str">
        <f>VLOOKUP(D90,دپارتمان!A:B,2,0)</f>
        <v>D002</v>
      </c>
      <c r="K90" t="str">
        <f>VLOOKUP(F90,'واحد سنجش'!A:B,2,0)</f>
        <v>U001</v>
      </c>
    </row>
    <row r="91" spans="1:11" x14ac:dyDescent="0.25">
      <c r="A91" t="s">
        <v>184</v>
      </c>
      <c r="B91" t="s">
        <v>53</v>
      </c>
      <c r="C91" t="s">
        <v>221</v>
      </c>
      <c r="D91" t="s">
        <v>17</v>
      </c>
      <c r="E91" t="s">
        <v>62</v>
      </c>
      <c r="F91" t="s">
        <v>12</v>
      </c>
      <c r="G91" t="s">
        <v>222</v>
      </c>
      <c r="H91" t="str">
        <f>VLOOKUP(E91,منظر!A:B,2,0)</f>
        <v>V003</v>
      </c>
      <c r="I91" t="str">
        <f>VLOOKUP(A91,استراتژی!A:B,2,0)</f>
        <v>S013</v>
      </c>
      <c r="J91" t="str">
        <f>VLOOKUP(D91,دپارتمان!A:B,2,0)</f>
        <v>D002</v>
      </c>
      <c r="K91" t="str">
        <f>VLOOKUP(F91,'واحد سنجش'!A:B,2,0)</f>
        <v>U001</v>
      </c>
    </row>
    <row r="92" spans="1:11" x14ac:dyDescent="0.25">
      <c r="A92" t="s">
        <v>184</v>
      </c>
      <c r="B92" t="s">
        <v>53</v>
      </c>
      <c r="C92" t="s">
        <v>223</v>
      </c>
      <c r="D92" t="s">
        <v>17</v>
      </c>
      <c r="E92" t="s">
        <v>62</v>
      </c>
      <c r="F92" t="s">
        <v>12</v>
      </c>
      <c r="G92" t="s">
        <v>224</v>
      </c>
      <c r="H92" t="str">
        <f>VLOOKUP(E92,منظر!A:B,2,0)</f>
        <v>V003</v>
      </c>
      <c r="I92" t="str">
        <f>VLOOKUP(A92,استراتژی!A:B,2,0)</f>
        <v>S013</v>
      </c>
      <c r="J92" t="str">
        <f>VLOOKUP(D92,دپارتمان!A:B,2,0)</f>
        <v>D002</v>
      </c>
      <c r="K92" t="str">
        <f>VLOOKUP(F92,'واحد سنجش'!A:B,2,0)</f>
        <v>U001</v>
      </c>
    </row>
    <row r="93" spans="1:11" x14ac:dyDescent="0.25">
      <c r="A93" t="s">
        <v>184</v>
      </c>
      <c r="B93" t="s">
        <v>53</v>
      </c>
      <c r="C93" t="s">
        <v>225</v>
      </c>
      <c r="D93" t="s">
        <v>17</v>
      </c>
      <c r="E93" t="s">
        <v>62</v>
      </c>
      <c r="F93" t="s">
        <v>12</v>
      </c>
      <c r="G93" t="s">
        <v>226</v>
      </c>
      <c r="H93" t="str">
        <f>VLOOKUP(E93,منظر!A:B,2,0)</f>
        <v>V003</v>
      </c>
      <c r="I93" t="str">
        <f>VLOOKUP(A93,استراتژی!A:B,2,0)</f>
        <v>S013</v>
      </c>
      <c r="J93" t="str">
        <f>VLOOKUP(D93,دپارتمان!A:B,2,0)</f>
        <v>D002</v>
      </c>
      <c r="K93" t="str">
        <f>VLOOKUP(F93,'واحد سنجش'!A:B,2,0)</f>
        <v>U001</v>
      </c>
    </row>
    <row r="94" spans="1:11" x14ac:dyDescent="0.25">
      <c r="A94" t="s">
        <v>184</v>
      </c>
      <c r="B94" t="s">
        <v>53</v>
      </c>
      <c r="C94" t="s">
        <v>227</v>
      </c>
      <c r="D94" t="s">
        <v>17</v>
      </c>
      <c r="E94" t="s">
        <v>62</v>
      </c>
      <c r="F94" t="s">
        <v>12</v>
      </c>
      <c r="G94" t="s">
        <v>228</v>
      </c>
      <c r="H94" t="str">
        <f>VLOOKUP(E94,منظر!A:B,2,0)</f>
        <v>V003</v>
      </c>
      <c r="I94" t="str">
        <f>VLOOKUP(A94,استراتژی!A:B,2,0)</f>
        <v>S013</v>
      </c>
      <c r="J94" t="str">
        <f>VLOOKUP(D94,دپارتمان!A:B,2,0)</f>
        <v>D002</v>
      </c>
      <c r="K94" t="str">
        <f>VLOOKUP(F94,'واحد سنجش'!A:B,2,0)</f>
        <v>U001</v>
      </c>
    </row>
    <row r="95" spans="1:11" x14ac:dyDescent="0.25">
      <c r="A95" t="s">
        <v>184</v>
      </c>
      <c r="B95" t="s">
        <v>53</v>
      </c>
      <c r="C95" t="s">
        <v>229</v>
      </c>
      <c r="D95" t="s">
        <v>17</v>
      </c>
      <c r="E95" t="s">
        <v>62</v>
      </c>
      <c r="F95" t="s">
        <v>12</v>
      </c>
      <c r="G95" t="s">
        <v>230</v>
      </c>
      <c r="H95" t="str">
        <f>VLOOKUP(E95,منظر!A:B,2,0)</f>
        <v>V003</v>
      </c>
      <c r="I95" t="str">
        <f>VLOOKUP(A95,استراتژی!A:B,2,0)</f>
        <v>S013</v>
      </c>
      <c r="J95" t="str">
        <f>VLOOKUP(D95,دپارتمان!A:B,2,0)</f>
        <v>D002</v>
      </c>
      <c r="K95" t="str">
        <f>VLOOKUP(F95,'واحد سنجش'!A:B,2,0)</f>
        <v>U001</v>
      </c>
    </row>
    <row r="96" spans="1:11" x14ac:dyDescent="0.25">
      <c r="A96" t="s">
        <v>184</v>
      </c>
      <c r="B96" t="s">
        <v>53</v>
      </c>
      <c r="C96" t="s">
        <v>231</v>
      </c>
      <c r="D96" t="s">
        <v>17</v>
      </c>
      <c r="E96" t="s">
        <v>62</v>
      </c>
      <c r="F96" t="s">
        <v>12</v>
      </c>
      <c r="G96" t="s">
        <v>232</v>
      </c>
      <c r="H96" t="str">
        <f>VLOOKUP(E96,منظر!A:B,2,0)</f>
        <v>V003</v>
      </c>
      <c r="I96" t="str">
        <f>VLOOKUP(A96,استراتژی!A:B,2,0)</f>
        <v>S013</v>
      </c>
      <c r="J96" t="str">
        <f>VLOOKUP(D96,دپارتمان!A:B,2,0)</f>
        <v>D002</v>
      </c>
      <c r="K96" t="str">
        <f>VLOOKUP(F96,'واحد سنجش'!A:B,2,0)</f>
        <v>U001</v>
      </c>
    </row>
    <row r="97" spans="1:11" x14ac:dyDescent="0.25">
      <c r="A97" t="s">
        <v>25</v>
      </c>
      <c r="B97" t="s">
        <v>8</v>
      </c>
      <c r="C97" t="s">
        <v>233</v>
      </c>
      <c r="D97" t="s">
        <v>17</v>
      </c>
      <c r="E97" t="s">
        <v>23</v>
      </c>
      <c r="F97" t="s">
        <v>12</v>
      </c>
      <c r="G97" t="s">
        <v>234</v>
      </c>
      <c r="H97" t="str">
        <f>VLOOKUP(E97,منظر!A:B,2,0)</f>
        <v>V002</v>
      </c>
      <c r="I97" t="str">
        <f>VLOOKUP(A97,استراتژی!A:B,2,0)</f>
        <v>S004</v>
      </c>
      <c r="J97" t="str">
        <f>VLOOKUP(D97,دپارتمان!A:B,2,0)</f>
        <v>D002</v>
      </c>
      <c r="K97" t="str">
        <f>VLOOKUP(F97,'واحد سنجش'!A:B,2,0)</f>
        <v>U001</v>
      </c>
    </row>
    <row r="98" spans="1:11" x14ac:dyDescent="0.25">
      <c r="A98" t="s">
        <v>105</v>
      </c>
      <c r="B98" t="s">
        <v>53</v>
      </c>
      <c r="C98" t="s">
        <v>235</v>
      </c>
      <c r="D98" t="s">
        <v>17</v>
      </c>
      <c r="E98" t="s">
        <v>107</v>
      </c>
      <c r="F98" t="s">
        <v>12</v>
      </c>
      <c r="G98" t="s">
        <v>236</v>
      </c>
      <c r="H98" t="str">
        <f>VLOOKUP(E98,منظر!A:B,2,0)</f>
        <v>V004</v>
      </c>
      <c r="I98" t="str">
        <f>VLOOKUP(A98,استراتژی!A:B,2,0)</f>
        <v>S007</v>
      </c>
      <c r="J98" t="str">
        <f>VLOOKUP(D98,دپارتمان!A:B,2,0)</f>
        <v>D002</v>
      </c>
      <c r="K98" t="str">
        <f>VLOOKUP(F98,'واحد سنجش'!A:B,2,0)</f>
        <v>U001</v>
      </c>
    </row>
    <row r="99" spans="1:11" x14ac:dyDescent="0.25">
      <c r="A99" t="s">
        <v>14</v>
      </c>
      <c r="B99" t="s">
        <v>53</v>
      </c>
      <c r="C99" t="s">
        <v>237</v>
      </c>
      <c r="D99" t="s">
        <v>17</v>
      </c>
      <c r="E99" t="s">
        <v>11</v>
      </c>
      <c r="F99" t="s">
        <v>18</v>
      </c>
      <c r="G99" t="s">
        <v>238</v>
      </c>
      <c r="H99" t="str">
        <f>VLOOKUP(E99,منظر!A:B,2,0)</f>
        <v>V001</v>
      </c>
      <c r="I99" t="str">
        <f>VLOOKUP(A99,استراتژی!A:B,2,0)</f>
        <v>S002</v>
      </c>
      <c r="J99" t="str">
        <f>VLOOKUP(D99,دپارتمان!A:B,2,0)</f>
        <v>D002</v>
      </c>
      <c r="K99" t="str">
        <f>VLOOKUP(F99,'واحد سنجش'!A:B,2,0)</f>
        <v>U002</v>
      </c>
    </row>
    <row r="100" spans="1:11" x14ac:dyDescent="0.25">
      <c r="A100" t="s">
        <v>14</v>
      </c>
      <c r="B100" t="s">
        <v>53</v>
      </c>
      <c r="C100" t="s">
        <v>239</v>
      </c>
      <c r="D100" t="s">
        <v>17</v>
      </c>
      <c r="E100" t="s">
        <v>11</v>
      </c>
      <c r="F100" t="s">
        <v>128</v>
      </c>
      <c r="G100" t="s">
        <v>240</v>
      </c>
      <c r="H100" t="str">
        <f>VLOOKUP(E100,منظر!A:B,2,0)</f>
        <v>V001</v>
      </c>
      <c r="I100" t="str">
        <f>VLOOKUP(A100,استراتژی!A:B,2,0)</f>
        <v>S002</v>
      </c>
      <c r="J100" t="str">
        <f>VLOOKUP(D100,دپارتمان!A:B,2,0)</f>
        <v>D002</v>
      </c>
      <c r="K100" t="str">
        <f>VLOOKUP(F100,'واحد سنجش'!A:B,2,0)</f>
        <v>U008</v>
      </c>
    </row>
    <row r="101" spans="1:11" x14ac:dyDescent="0.25">
      <c r="A101" t="s">
        <v>14</v>
      </c>
      <c r="B101" t="s">
        <v>53</v>
      </c>
      <c r="C101" t="s">
        <v>241</v>
      </c>
      <c r="D101" t="s">
        <v>17</v>
      </c>
      <c r="E101" t="s">
        <v>11</v>
      </c>
      <c r="F101" t="s">
        <v>18</v>
      </c>
      <c r="G101" t="s">
        <v>242</v>
      </c>
      <c r="H101" t="str">
        <f>VLOOKUP(E101,منظر!A:B,2,0)</f>
        <v>V001</v>
      </c>
      <c r="I101" t="str">
        <f>VLOOKUP(A101,استراتژی!A:B,2,0)</f>
        <v>S002</v>
      </c>
      <c r="J101" t="str">
        <f>VLOOKUP(D101,دپارتمان!A:B,2,0)</f>
        <v>D002</v>
      </c>
      <c r="K101" t="str">
        <f>VLOOKUP(F101,'واحد سنجش'!A:B,2,0)</f>
        <v>U002</v>
      </c>
    </row>
    <row r="102" spans="1:11" x14ac:dyDescent="0.25">
      <c r="A102" t="s">
        <v>14</v>
      </c>
      <c r="B102" t="s">
        <v>53</v>
      </c>
      <c r="C102" t="s">
        <v>243</v>
      </c>
      <c r="D102" t="s">
        <v>17</v>
      </c>
      <c r="E102" t="s">
        <v>11</v>
      </c>
      <c r="F102" t="s">
        <v>55</v>
      </c>
      <c r="G102" t="s">
        <v>244</v>
      </c>
      <c r="H102" t="str">
        <f>VLOOKUP(E102,منظر!A:B,2,0)</f>
        <v>V001</v>
      </c>
      <c r="I102" t="str">
        <f>VLOOKUP(A102,استراتژی!A:B,2,0)</f>
        <v>S002</v>
      </c>
      <c r="J102" t="str">
        <f>VLOOKUP(D102,دپارتمان!A:B,2,0)</f>
        <v>D002</v>
      </c>
      <c r="K102" t="str">
        <f>VLOOKUP(F102,'واحد سنجش'!A:B,2,0)</f>
        <v>U005</v>
      </c>
    </row>
    <row r="103" spans="1:11" x14ac:dyDescent="0.25">
      <c r="A103" t="s">
        <v>245</v>
      </c>
      <c r="B103" t="s">
        <v>8</v>
      </c>
      <c r="C103" t="s">
        <v>246</v>
      </c>
      <c r="D103" t="s">
        <v>17</v>
      </c>
      <c r="E103" t="s">
        <v>62</v>
      </c>
      <c r="F103" t="s">
        <v>79</v>
      </c>
      <c r="G103" t="s">
        <v>247</v>
      </c>
      <c r="H103" t="str">
        <f>VLOOKUP(E103,منظر!A:B,2,0)</f>
        <v>V003</v>
      </c>
      <c r="I103" t="str">
        <f>VLOOKUP(A103,استراتژی!A:B,2,0)</f>
        <v>S014</v>
      </c>
      <c r="J103" t="str">
        <f>VLOOKUP(D103,دپارتمان!A:B,2,0)</f>
        <v>D002</v>
      </c>
      <c r="K103" t="str">
        <f>VLOOKUP(F103,'واحد سنجش'!A:B,2,0)</f>
        <v>U006</v>
      </c>
    </row>
    <row r="104" spans="1:11" x14ac:dyDescent="0.25">
      <c r="A104" t="s">
        <v>245</v>
      </c>
      <c r="B104" t="s">
        <v>8</v>
      </c>
      <c r="C104" t="s">
        <v>248</v>
      </c>
      <c r="D104" t="s">
        <v>17</v>
      </c>
      <c r="E104" t="s">
        <v>62</v>
      </c>
      <c r="F104" t="s">
        <v>79</v>
      </c>
      <c r="G104" t="s">
        <v>249</v>
      </c>
      <c r="H104" t="str">
        <f>VLOOKUP(E104,منظر!A:B,2,0)</f>
        <v>V003</v>
      </c>
      <c r="I104" t="str">
        <f>VLOOKUP(A104,استراتژی!A:B,2,0)</f>
        <v>S014</v>
      </c>
      <c r="J104" t="str">
        <f>VLOOKUP(D104,دپارتمان!A:B,2,0)</f>
        <v>D002</v>
      </c>
      <c r="K104" t="str">
        <f>VLOOKUP(F104,'واحد سنجش'!A:B,2,0)</f>
        <v>U006</v>
      </c>
    </row>
    <row r="105" spans="1:11" x14ac:dyDescent="0.25">
      <c r="A105" t="s">
        <v>245</v>
      </c>
      <c r="B105" t="s">
        <v>8</v>
      </c>
      <c r="C105" t="s">
        <v>250</v>
      </c>
      <c r="D105" t="s">
        <v>17</v>
      </c>
      <c r="E105" t="s">
        <v>62</v>
      </c>
      <c r="F105" t="s">
        <v>79</v>
      </c>
      <c r="G105" t="s">
        <v>251</v>
      </c>
      <c r="H105" t="str">
        <f>VLOOKUP(E105,منظر!A:B,2,0)</f>
        <v>V003</v>
      </c>
      <c r="I105" t="str">
        <f>VLOOKUP(A105,استراتژی!A:B,2,0)</f>
        <v>S014</v>
      </c>
      <c r="J105" t="str">
        <f>VLOOKUP(D105,دپارتمان!A:B,2,0)</f>
        <v>D002</v>
      </c>
      <c r="K105" t="str">
        <f>VLOOKUP(F105,'واحد سنجش'!A:B,2,0)</f>
        <v>U006</v>
      </c>
    </row>
    <row r="106" spans="1:11" x14ac:dyDescent="0.25">
      <c r="A106" t="s">
        <v>245</v>
      </c>
      <c r="B106" t="s">
        <v>8</v>
      </c>
      <c r="C106" t="s">
        <v>252</v>
      </c>
      <c r="D106" t="s">
        <v>17</v>
      </c>
      <c r="E106" t="s">
        <v>62</v>
      </c>
      <c r="F106" t="s">
        <v>79</v>
      </c>
      <c r="G106" t="s">
        <v>253</v>
      </c>
      <c r="H106" t="str">
        <f>VLOOKUP(E106,منظر!A:B,2,0)</f>
        <v>V003</v>
      </c>
      <c r="I106" t="str">
        <f>VLOOKUP(A106,استراتژی!A:B,2,0)</f>
        <v>S014</v>
      </c>
      <c r="J106" t="str">
        <f>VLOOKUP(D106,دپارتمان!A:B,2,0)</f>
        <v>D002</v>
      </c>
      <c r="K106" t="str">
        <f>VLOOKUP(F106,'واحد سنجش'!A:B,2,0)</f>
        <v>U006</v>
      </c>
    </row>
    <row r="107" spans="1:11" x14ac:dyDescent="0.25">
      <c r="A107" t="s">
        <v>254</v>
      </c>
      <c r="B107" t="s">
        <v>53</v>
      </c>
      <c r="C107" t="s">
        <v>255</v>
      </c>
      <c r="D107" t="s">
        <v>17</v>
      </c>
      <c r="E107" t="s">
        <v>11</v>
      </c>
      <c r="F107" t="s">
        <v>36</v>
      </c>
      <c r="G107" t="s">
        <v>256</v>
      </c>
      <c r="H107" t="str">
        <f>VLOOKUP(E107,منظر!A:B,2,0)</f>
        <v>V001</v>
      </c>
      <c r="I107" t="str">
        <f>VLOOKUP(A107,استراتژی!A:B,2,0)</f>
        <v>S015</v>
      </c>
      <c r="J107" t="str">
        <f>VLOOKUP(D107,دپارتمان!A:B,2,0)</f>
        <v>D002</v>
      </c>
      <c r="K107" t="str">
        <f>VLOOKUP(F107,'واحد سنجش'!A:B,2,0)</f>
        <v>U003</v>
      </c>
    </row>
    <row r="108" spans="1:11" x14ac:dyDescent="0.25">
      <c r="A108" t="s">
        <v>254</v>
      </c>
      <c r="B108" t="s">
        <v>53</v>
      </c>
      <c r="C108" t="s">
        <v>257</v>
      </c>
      <c r="D108" t="s">
        <v>17</v>
      </c>
      <c r="E108" t="s">
        <v>11</v>
      </c>
      <c r="F108" t="s">
        <v>36</v>
      </c>
      <c r="G108" t="s">
        <v>258</v>
      </c>
      <c r="H108" t="str">
        <f>VLOOKUP(E108,منظر!A:B,2,0)</f>
        <v>V001</v>
      </c>
      <c r="I108" t="str">
        <f>VLOOKUP(A108,استراتژی!A:B,2,0)</f>
        <v>S015</v>
      </c>
      <c r="J108" t="str">
        <f>VLOOKUP(D108,دپارتمان!A:B,2,0)</f>
        <v>D002</v>
      </c>
      <c r="K108" t="str">
        <f>VLOOKUP(F108,'واحد سنجش'!A:B,2,0)</f>
        <v>U003</v>
      </c>
    </row>
    <row r="109" spans="1:11" x14ac:dyDescent="0.25">
      <c r="A109" t="s">
        <v>254</v>
      </c>
      <c r="B109" t="s">
        <v>53</v>
      </c>
      <c r="C109" t="s">
        <v>259</v>
      </c>
      <c r="D109" t="s">
        <v>17</v>
      </c>
      <c r="E109" t="s">
        <v>11</v>
      </c>
      <c r="F109" t="s">
        <v>12</v>
      </c>
      <c r="G109" t="s">
        <v>260</v>
      </c>
      <c r="H109" t="str">
        <f>VLOOKUP(E109,منظر!A:B,2,0)</f>
        <v>V001</v>
      </c>
      <c r="I109" t="str">
        <f>VLOOKUP(A109,استراتژی!A:B,2,0)</f>
        <v>S015</v>
      </c>
      <c r="J109" t="str">
        <f>VLOOKUP(D109,دپارتمان!A:B,2,0)</f>
        <v>D002</v>
      </c>
      <c r="K109" t="str">
        <f>VLOOKUP(F109,'واحد سنجش'!A:B,2,0)</f>
        <v>U001</v>
      </c>
    </row>
    <row r="110" spans="1:11" x14ac:dyDescent="0.25">
      <c r="A110" t="s">
        <v>261</v>
      </c>
      <c r="B110" t="s">
        <v>8</v>
      </c>
      <c r="C110" t="s">
        <v>262</v>
      </c>
      <c r="D110" t="s">
        <v>17</v>
      </c>
      <c r="E110" t="s">
        <v>62</v>
      </c>
      <c r="F110" t="s">
        <v>12</v>
      </c>
      <c r="G110" t="s">
        <v>263</v>
      </c>
      <c r="H110" t="str">
        <f>VLOOKUP(E110,منظر!A:B,2,0)</f>
        <v>V003</v>
      </c>
      <c r="I110" t="str">
        <f>VLOOKUP(A110,استراتژی!A:B,2,0)</f>
        <v>S016</v>
      </c>
      <c r="J110" t="str">
        <f>VLOOKUP(D110,دپارتمان!A:B,2,0)</f>
        <v>D002</v>
      </c>
      <c r="K110" t="str">
        <f>VLOOKUP(F110,'واحد سنجش'!A:B,2,0)</f>
        <v>U001</v>
      </c>
    </row>
    <row r="111" spans="1:11" x14ac:dyDescent="0.25">
      <c r="A111" t="s">
        <v>181</v>
      </c>
      <c r="B111" t="s">
        <v>8</v>
      </c>
      <c r="C111" t="s">
        <v>264</v>
      </c>
      <c r="D111" t="s">
        <v>265</v>
      </c>
      <c r="E111" t="s">
        <v>107</v>
      </c>
      <c r="F111" t="s">
        <v>18</v>
      </c>
      <c r="G111" t="s">
        <v>266</v>
      </c>
      <c r="H111" t="str">
        <f>VLOOKUP(E111,منظر!A:B,2,0)</f>
        <v>V004</v>
      </c>
      <c r="I111" t="str">
        <f>VLOOKUP(A111,استراتژی!A:B,2,0)</f>
        <v>S012</v>
      </c>
      <c r="J111" t="str">
        <f>VLOOKUP(D111,دپارتمان!A:B,2,0)</f>
        <v>D009</v>
      </c>
      <c r="K111" t="str">
        <f>VLOOKUP(F111,'واحد سنجش'!A:B,2,0)</f>
        <v>U002</v>
      </c>
    </row>
    <row r="112" spans="1:11" x14ac:dyDescent="0.25">
      <c r="A112" t="s">
        <v>14</v>
      </c>
      <c r="B112" t="s">
        <v>53</v>
      </c>
      <c r="C112" t="s">
        <v>267</v>
      </c>
      <c r="D112" t="s">
        <v>110</v>
      </c>
      <c r="E112" t="s">
        <v>11</v>
      </c>
      <c r="F112" t="s">
        <v>12</v>
      </c>
      <c r="G112" t="s">
        <v>269</v>
      </c>
      <c r="H112" t="str">
        <f>VLOOKUP(E112,منظر!A:B,2,0)</f>
        <v>V001</v>
      </c>
      <c r="I112" t="str">
        <f>VLOOKUP(A112,استراتژی!A:B,2,0)</f>
        <v>S002</v>
      </c>
      <c r="J112" t="str">
        <f>VLOOKUP(D112,دپارتمان!A:B,2,0)</f>
        <v>D006</v>
      </c>
      <c r="K112" t="str">
        <f>VLOOKUP(F112,'واحد سنجش'!A:B,2,0)</f>
        <v>U001</v>
      </c>
    </row>
    <row r="113" spans="1:11" x14ac:dyDescent="0.25">
      <c r="A113" t="s">
        <v>14</v>
      </c>
      <c r="B113" t="s">
        <v>53</v>
      </c>
      <c r="C113" t="s">
        <v>270</v>
      </c>
      <c r="D113" t="s">
        <v>110</v>
      </c>
      <c r="E113" t="s">
        <v>11</v>
      </c>
      <c r="F113" t="s">
        <v>18</v>
      </c>
      <c r="G113" t="s">
        <v>271</v>
      </c>
      <c r="H113" t="str">
        <f>VLOOKUP(E113,منظر!A:B,2,0)</f>
        <v>V001</v>
      </c>
      <c r="I113" t="str">
        <f>VLOOKUP(A113,استراتژی!A:B,2,0)</f>
        <v>S002</v>
      </c>
      <c r="J113" t="str">
        <f>VLOOKUP(D113,دپارتمان!A:B,2,0)</f>
        <v>D006</v>
      </c>
      <c r="K113" t="str">
        <f>VLOOKUP(F113,'واحد سنجش'!A:B,2,0)</f>
        <v>U002</v>
      </c>
    </row>
    <row r="114" spans="1:11" x14ac:dyDescent="0.25">
      <c r="A114" t="s">
        <v>7</v>
      </c>
      <c r="B114" t="s">
        <v>8</v>
      </c>
      <c r="C114" t="s">
        <v>272</v>
      </c>
      <c r="D114" t="s">
        <v>10</v>
      </c>
      <c r="E114" t="s">
        <v>11</v>
      </c>
      <c r="F114" t="s">
        <v>12</v>
      </c>
      <c r="G114" t="s">
        <v>273</v>
      </c>
      <c r="H114" t="str">
        <f>VLOOKUP(E114,منظر!A:B,2,0)</f>
        <v>V001</v>
      </c>
      <c r="I114" t="str">
        <f>VLOOKUP(A114,استراتژی!A:B,2,0)</f>
        <v>S001</v>
      </c>
      <c r="J114" t="str">
        <f>VLOOKUP(D114,دپارتمان!A:B,2,0)</f>
        <v>D001</v>
      </c>
      <c r="K114" t="str">
        <f>VLOOKUP(F114,'واحد سنجش'!A:B,2,0)</f>
        <v>U001</v>
      </c>
    </row>
    <row r="115" spans="1:11" x14ac:dyDescent="0.25">
      <c r="A115" t="s">
        <v>7</v>
      </c>
      <c r="B115" t="s">
        <v>8</v>
      </c>
      <c r="C115" t="s">
        <v>274</v>
      </c>
      <c r="D115" t="s">
        <v>265</v>
      </c>
      <c r="E115" t="s">
        <v>11</v>
      </c>
      <c r="F115" t="s">
        <v>12</v>
      </c>
      <c r="G115" t="s">
        <v>275</v>
      </c>
      <c r="H115" t="str">
        <f>VLOOKUP(E115,منظر!A:B,2,0)</f>
        <v>V001</v>
      </c>
      <c r="I115" t="str">
        <f>VLOOKUP(A115,استراتژی!A:B,2,0)</f>
        <v>S001</v>
      </c>
      <c r="J115" t="str">
        <f>VLOOKUP(D115,دپارتمان!A:B,2,0)</f>
        <v>D009</v>
      </c>
      <c r="K115" t="str">
        <f>VLOOKUP(F115,'واحد سنجش'!A:B,2,0)</f>
        <v>U001</v>
      </c>
    </row>
    <row r="116" spans="1:11" x14ac:dyDescent="0.25">
      <c r="A116" t="s">
        <v>7</v>
      </c>
      <c r="B116" t="s">
        <v>8</v>
      </c>
      <c r="C116" t="s">
        <v>276</v>
      </c>
      <c r="D116" t="s">
        <v>265</v>
      </c>
      <c r="E116" t="s">
        <v>11</v>
      </c>
      <c r="F116" t="s">
        <v>12</v>
      </c>
      <c r="G116" t="s">
        <v>277</v>
      </c>
      <c r="H116" t="str">
        <f>VLOOKUP(E116,منظر!A:B,2,0)</f>
        <v>V001</v>
      </c>
      <c r="I116" t="str">
        <f>VLOOKUP(A116,استراتژی!A:B,2,0)</f>
        <v>S001</v>
      </c>
      <c r="J116" t="str">
        <f>VLOOKUP(D116,دپارتمان!A:B,2,0)</f>
        <v>D009</v>
      </c>
      <c r="K116" t="str">
        <f>VLOOKUP(F116,'واحد سنجش'!A:B,2,0)</f>
        <v>U001</v>
      </c>
    </row>
    <row r="117" spans="1:11" x14ac:dyDescent="0.25">
      <c r="A117" t="s">
        <v>7</v>
      </c>
      <c r="B117" t="s">
        <v>8</v>
      </c>
      <c r="C117" t="s">
        <v>278</v>
      </c>
      <c r="D117" t="s">
        <v>265</v>
      </c>
      <c r="E117" t="s">
        <v>11</v>
      </c>
      <c r="F117" t="s">
        <v>12</v>
      </c>
      <c r="G117" t="s">
        <v>279</v>
      </c>
      <c r="H117" t="str">
        <f>VLOOKUP(E117,منظر!A:B,2,0)</f>
        <v>V001</v>
      </c>
      <c r="I117" t="str">
        <f>VLOOKUP(A117,استراتژی!A:B,2,0)</f>
        <v>S001</v>
      </c>
      <c r="J117" t="str">
        <f>VLOOKUP(D117,دپارتمان!A:B,2,0)</f>
        <v>D009</v>
      </c>
      <c r="K117" t="str">
        <f>VLOOKUP(F117,'واحد سنجش'!A:B,2,0)</f>
        <v>U001</v>
      </c>
    </row>
    <row r="118" spans="1:11" x14ac:dyDescent="0.25">
      <c r="A118" t="s">
        <v>7</v>
      </c>
      <c r="B118" t="s">
        <v>8</v>
      </c>
      <c r="C118" t="s">
        <v>280</v>
      </c>
      <c r="D118" t="s">
        <v>265</v>
      </c>
      <c r="E118" t="s">
        <v>11</v>
      </c>
      <c r="F118" t="s">
        <v>12</v>
      </c>
      <c r="G118" t="s">
        <v>281</v>
      </c>
      <c r="H118" t="str">
        <f>VLOOKUP(E118,منظر!A:B,2,0)</f>
        <v>V001</v>
      </c>
      <c r="I118" t="str">
        <f>VLOOKUP(A118,استراتژی!A:B,2,0)</f>
        <v>S001</v>
      </c>
      <c r="J118" t="str">
        <f>VLOOKUP(D118,دپارتمان!A:B,2,0)</f>
        <v>D009</v>
      </c>
      <c r="K118" t="str">
        <f>VLOOKUP(F118,'واحد سنجش'!A:B,2,0)</f>
        <v>U001</v>
      </c>
    </row>
    <row r="119" spans="1:11" x14ac:dyDescent="0.25">
      <c r="A119" t="s">
        <v>7</v>
      </c>
      <c r="B119" t="s">
        <v>8</v>
      </c>
      <c r="C119" t="s">
        <v>282</v>
      </c>
      <c r="D119" t="s">
        <v>265</v>
      </c>
      <c r="E119" t="s">
        <v>11</v>
      </c>
      <c r="F119" t="s">
        <v>12</v>
      </c>
      <c r="G119" t="s">
        <v>283</v>
      </c>
      <c r="H119" t="str">
        <f>VLOOKUP(E119,منظر!A:B,2,0)</f>
        <v>V001</v>
      </c>
      <c r="I119" t="str">
        <f>VLOOKUP(A119,استراتژی!A:B,2,0)</f>
        <v>S001</v>
      </c>
      <c r="J119" t="str">
        <f>VLOOKUP(D119,دپارتمان!A:B,2,0)</f>
        <v>D009</v>
      </c>
      <c r="K119" t="str">
        <f>VLOOKUP(F119,'واحد سنجش'!A:B,2,0)</f>
        <v>U001</v>
      </c>
    </row>
    <row r="120" spans="1:11" x14ac:dyDescent="0.25">
      <c r="A120" t="s">
        <v>7</v>
      </c>
      <c r="B120" t="s">
        <v>53</v>
      </c>
      <c r="C120" t="s">
        <v>284</v>
      </c>
      <c r="D120" t="s">
        <v>265</v>
      </c>
      <c r="E120" t="s">
        <v>11</v>
      </c>
      <c r="F120" t="s">
        <v>36</v>
      </c>
      <c r="G120" t="s">
        <v>285</v>
      </c>
      <c r="H120" t="str">
        <f>VLOOKUP(E120,منظر!A:B,2,0)</f>
        <v>V001</v>
      </c>
      <c r="I120" t="str">
        <f>VLOOKUP(A120,استراتژی!A:B,2,0)</f>
        <v>S001</v>
      </c>
      <c r="J120" t="str">
        <f>VLOOKUP(D120,دپارتمان!A:B,2,0)</f>
        <v>D009</v>
      </c>
      <c r="K120" t="str">
        <f>VLOOKUP(F120,'واحد سنجش'!A:B,2,0)</f>
        <v>U003</v>
      </c>
    </row>
    <row r="121" spans="1:11" x14ac:dyDescent="0.25">
      <c r="A121" t="s">
        <v>7</v>
      </c>
      <c r="B121" t="s">
        <v>53</v>
      </c>
      <c r="C121" t="s">
        <v>286</v>
      </c>
      <c r="D121" t="s">
        <v>265</v>
      </c>
      <c r="E121" t="s">
        <v>11</v>
      </c>
      <c r="F121" t="s">
        <v>36</v>
      </c>
      <c r="G121" t="s">
        <v>287</v>
      </c>
      <c r="H121" t="str">
        <f>VLOOKUP(E121,منظر!A:B,2,0)</f>
        <v>V001</v>
      </c>
      <c r="I121" t="str">
        <f>VLOOKUP(A121,استراتژی!A:B,2,0)</f>
        <v>S001</v>
      </c>
      <c r="J121" t="str">
        <f>VLOOKUP(D121,دپارتمان!A:B,2,0)</f>
        <v>D009</v>
      </c>
      <c r="K121" t="str">
        <f>VLOOKUP(F121,'واحد سنجش'!A:B,2,0)</f>
        <v>U003</v>
      </c>
    </row>
    <row r="122" spans="1:11" x14ac:dyDescent="0.25">
      <c r="A122" t="s">
        <v>181</v>
      </c>
      <c r="B122" t="s">
        <v>8</v>
      </c>
      <c r="C122" t="s">
        <v>288</v>
      </c>
      <c r="D122" t="s">
        <v>265</v>
      </c>
      <c r="E122" t="s">
        <v>107</v>
      </c>
      <c r="F122" t="s">
        <v>18</v>
      </c>
      <c r="G122" t="s">
        <v>289</v>
      </c>
      <c r="H122" t="str">
        <f>VLOOKUP(E122,منظر!A:B,2,0)</f>
        <v>V004</v>
      </c>
      <c r="I122" t="str">
        <f>VLOOKUP(A122,استراتژی!A:B,2,0)</f>
        <v>S012</v>
      </c>
      <c r="J122" t="str">
        <f>VLOOKUP(D122,دپارتمان!A:B,2,0)</f>
        <v>D009</v>
      </c>
      <c r="K122" t="str">
        <f>VLOOKUP(F122,'واحد سنجش'!A:B,2,0)</f>
        <v>U002</v>
      </c>
    </row>
    <row r="123" spans="1:11" x14ac:dyDescent="0.25">
      <c r="A123" t="s">
        <v>181</v>
      </c>
      <c r="B123" t="s">
        <v>8</v>
      </c>
      <c r="C123" t="s">
        <v>290</v>
      </c>
      <c r="D123" t="s">
        <v>265</v>
      </c>
      <c r="E123" t="s">
        <v>107</v>
      </c>
      <c r="F123" t="s">
        <v>55</v>
      </c>
      <c r="G123" t="s">
        <v>291</v>
      </c>
      <c r="H123" t="str">
        <f>VLOOKUP(E123,منظر!A:B,2,0)</f>
        <v>V004</v>
      </c>
      <c r="I123" t="str">
        <f>VLOOKUP(A123,استراتژی!A:B,2,0)</f>
        <v>S012</v>
      </c>
      <c r="J123" t="str">
        <f>VLOOKUP(D123,دپارتمان!A:B,2,0)</f>
        <v>D009</v>
      </c>
      <c r="K123" t="str">
        <f>VLOOKUP(F123,'واحد سنجش'!A:B,2,0)</f>
        <v>U005</v>
      </c>
    </row>
    <row r="124" spans="1:11" x14ac:dyDescent="0.25">
      <c r="A124" t="s">
        <v>181</v>
      </c>
      <c r="B124" t="s">
        <v>8</v>
      </c>
      <c r="C124" t="s">
        <v>292</v>
      </c>
      <c r="D124" t="s">
        <v>265</v>
      </c>
      <c r="E124" t="s">
        <v>107</v>
      </c>
      <c r="F124" t="s">
        <v>55</v>
      </c>
      <c r="G124" t="s">
        <v>293</v>
      </c>
      <c r="H124" t="str">
        <f>VLOOKUP(E124,منظر!A:B,2,0)</f>
        <v>V004</v>
      </c>
      <c r="I124" t="str">
        <f>VLOOKUP(A124,استراتژی!A:B,2,0)</f>
        <v>S012</v>
      </c>
      <c r="J124" t="str">
        <f>VLOOKUP(D124,دپارتمان!A:B,2,0)</f>
        <v>D009</v>
      </c>
      <c r="K124" t="str">
        <f>VLOOKUP(F124,'واحد سنجش'!A:B,2,0)</f>
        <v>U005</v>
      </c>
    </row>
    <row r="125" spans="1:11" x14ac:dyDescent="0.25">
      <c r="A125" t="s">
        <v>181</v>
      </c>
      <c r="B125" t="s">
        <v>8</v>
      </c>
      <c r="C125" t="s">
        <v>294</v>
      </c>
      <c r="D125" t="s">
        <v>265</v>
      </c>
      <c r="E125" t="s">
        <v>107</v>
      </c>
      <c r="F125" t="s">
        <v>55</v>
      </c>
      <c r="G125" t="s">
        <v>295</v>
      </c>
      <c r="H125" t="str">
        <f>VLOOKUP(E125,منظر!A:B,2,0)</f>
        <v>V004</v>
      </c>
      <c r="I125" t="str">
        <f>VLOOKUP(A125,استراتژی!A:B,2,0)</f>
        <v>S012</v>
      </c>
      <c r="J125" t="str">
        <f>VLOOKUP(D125,دپارتمان!A:B,2,0)</f>
        <v>D009</v>
      </c>
      <c r="K125" t="str">
        <f>VLOOKUP(F125,'واحد سنجش'!A:B,2,0)</f>
        <v>U005</v>
      </c>
    </row>
    <row r="126" spans="1:11" x14ac:dyDescent="0.25">
      <c r="A126" t="s">
        <v>181</v>
      </c>
      <c r="B126" t="s">
        <v>8</v>
      </c>
      <c r="C126" t="s">
        <v>296</v>
      </c>
      <c r="D126" t="s">
        <v>265</v>
      </c>
      <c r="E126" t="s">
        <v>107</v>
      </c>
      <c r="F126" t="s">
        <v>55</v>
      </c>
      <c r="G126" t="s">
        <v>297</v>
      </c>
      <c r="H126" t="str">
        <f>VLOOKUP(E126,منظر!A:B,2,0)</f>
        <v>V004</v>
      </c>
      <c r="I126" t="str">
        <f>VLOOKUP(A126,استراتژی!A:B,2,0)</f>
        <v>S012</v>
      </c>
      <c r="J126" t="str">
        <f>VLOOKUP(D126,دپارتمان!A:B,2,0)</f>
        <v>D009</v>
      </c>
      <c r="K126" t="str">
        <f>VLOOKUP(F126,'واحد سنجش'!A:B,2,0)</f>
        <v>U005</v>
      </c>
    </row>
    <row r="127" spans="1:11" x14ac:dyDescent="0.25">
      <c r="A127" t="s">
        <v>181</v>
      </c>
      <c r="B127" t="s">
        <v>8</v>
      </c>
      <c r="C127" t="s">
        <v>298</v>
      </c>
      <c r="D127" t="s">
        <v>265</v>
      </c>
      <c r="E127" t="s">
        <v>107</v>
      </c>
      <c r="F127" t="s">
        <v>55</v>
      </c>
      <c r="G127" t="s">
        <v>299</v>
      </c>
      <c r="H127" t="str">
        <f>VLOOKUP(E127,منظر!A:B,2,0)</f>
        <v>V004</v>
      </c>
      <c r="I127" t="str">
        <f>VLOOKUP(A127,استراتژی!A:B,2,0)</f>
        <v>S012</v>
      </c>
      <c r="J127" t="str">
        <f>VLOOKUP(D127,دپارتمان!A:B,2,0)</f>
        <v>D009</v>
      </c>
      <c r="K127" t="str">
        <f>VLOOKUP(F127,'واحد سنجش'!A:B,2,0)</f>
        <v>U005</v>
      </c>
    </row>
    <row r="128" spans="1:11" x14ac:dyDescent="0.25">
      <c r="A128" t="s">
        <v>181</v>
      </c>
      <c r="B128" t="s">
        <v>8</v>
      </c>
      <c r="C128" t="s">
        <v>300</v>
      </c>
      <c r="D128" t="s">
        <v>265</v>
      </c>
      <c r="E128" t="s">
        <v>107</v>
      </c>
      <c r="F128" t="s">
        <v>55</v>
      </c>
      <c r="G128" t="s">
        <v>301</v>
      </c>
      <c r="H128" t="str">
        <f>VLOOKUP(E128,منظر!A:B,2,0)</f>
        <v>V004</v>
      </c>
      <c r="I128" t="str">
        <f>VLOOKUP(A128,استراتژی!A:B,2,0)</f>
        <v>S012</v>
      </c>
      <c r="J128" t="str">
        <f>VLOOKUP(D128,دپارتمان!A:B,2,0)</f>
        <v>D009</v>
      </c>
      <c r="K128" t="str">
        <f>VLOOKUP(F128,'واحد سنجش'!A:B,2,0)</f>
        <v>U005</v>
      </c>
    </row>
    <row r="129" spans="1:11" x14ac:dyDescent="0.25">
      <c r="A129" t="s">
        <v>181</v>
      </c>
      <c r="B129" t="s">
        <v>8</v>
      </c>
      <c r="C129" t="s">
        <v>302</v>
      </c>
      <c r="D129" t="s">
        <v>265</v>
      </c>
      <c r="E129" t="s">
        <v>107</v>
      </c>
      <c r="F129" t="s">
        <v>18</v>
      </c>
      <c r="G129" t="s">
        <v>303</v>
      </c>
      <c r="H129" t="str">
        <f>VLOOKUP(E129,منظر!A:B,2,0)</f>
        <v>V004</v>
      </c>
      <c r="I129" t="str">
        <f>VLOOKUP(A129,استراتژی!A:B,2,0)</f>
        <v>S012</v>
      </c>
      <c r="J129" t="str">
        <f>VLOOKUP(D129,دپارتمان!A:B,2,0)</f>
        <v>D009</v>
      </c>
      <c r="K129" t="str">
        <f>VLOOKUP(F129,'واحد سنجش'!A:B,2,0)</f>
        <v>U002</v>
      </c>
    </row>
    <row r="130" spans="1:11" x14ac:dyDescent="0.25">
      <c r="A130" t="s">
        <v>181</v>
      </c>
      <c r="B130" t="s">
        <v>8</v>
      </c>
      <c r="C130" t="s">
        <v>304</v>
      </c>
      <c r="D130" t="s">
        <v>265</v>
      </c>
      <c r="E130" t="s">
        <v>107</v>
      </c>
      <c r="F130" t="s">
        <v>18</v>
      </c>
      <c r="G130" t="s">
        <v>305</v>
      </c>
      <c r="H130" t="str">
        <f>VLOOKUP(E130,منظر!A:B,2,0)</f>
        <v>V004</v>
      </c>
      <c r="I130" t="str">
        <f>VLOOKUP(A130,استراتژی!A:B,2,0)</f>
        <v>S012</v>
      </c>
      <c r="J130" t="str">
        <f>VLOOKUP(D130,دپارتمان!A:B,2,0)</f>
        <v>D009</v>
      </c>
      <c r="K130" t="str">
        <f>VLOOKUP(F130,'واحد سنجش'!A:B,2,0)</f>
        <v>U002</v>
      </c>
    </row>
    <row r="131" spans="1:11" x14ac:dyDescent="0.25">
      <c r="A131" t="s">
        <v>181</v>
      </c>
      <c r="B131" t="s">
        <v>8</v>
      </c>
      <c r="C131" t="s">
        <v>306</v>
      </c>
      <c r="D131" t="s">
        <v>265</v>
      </c>
      <c r="E131" t="s">
        <v>107</v>
      </c>
      <c r="F131" t="s">
        <v>12</v>
      </c>
      <c r="G131" t="s">
        <v>307</v>
      </c>
      <c r="H131" t="str">
        <f>VLOOKUP(E131,منظر!A:B,2,0)</f>
        <v>V004</v>
      </c>
      <c r="I131" t="str">
        <f>VLOOKUP(A131,استراتژی!A:B,2,0)</f>
        <v>S012</v>
      </c>
      <c r="J131" t="str">
        <f>VLOOKUP(D131,دپارتمان!A:B,2,0)</f>
        <v>D009</v>
      </c>
      <c r="K131" t="str">
        <f>VLOOKUP(F131,'واحد سنجش'!A:B,2,0)</f>
        <v>U001</v>
      </c>
    </row>
    <row r="132" spans="1:11" x14ac:dyDescent="0.25">
      <c r="A132" t="s">
        <v>181</v>
      </c>
      <c r="B132" t="s">
        <v>8</v>
      </c>
      <c r="C132" t="s">
        <v>308</v>
      </c>
      <c r="D132" t="s">
        <v>265</v>
      </c>
      <c r="E132" t="s">
        <v>107</v>
      </c>
      <c r="F132" t="s">
        <v>12</v>
      </c>
      <c r="G132" t="s">
        <v>309</v>
      </c>
      <c r="H132" t="str">
        <f>VLOOKUP(E132,منظر!A:B,2,0)</f>
        <v>V004</v>
      </c>
      <c r="I132" t="str">
        <f>VLOOKUP(A132,استراتژی!A:B,2,0)</f>
        <v>S012</v>
      </c>
      <c r="J132" t="str">
        <f>VLOOKUP(D132,دپارتمان!A:B,2,0)</f>
        <v>D009</v>
      </c>
      <c r="K132" t="str">
        <f>VLOOKUP(F132,'واحد سنجش'!A:B,2,0)</f>
        <v>U001</v>
      </c>
    </row>
    <row r="133" spans="1:11" x14ac:dyDescent="0.25">
      <c r="A133" t="s">
        <v>14</v>
      </c>
      <c r="B133" t="s">
        <v>53</v>
      </c>
      <c r="C133" t="s">
        <v>310</v>
      </c>
      <c r="D133" t="s">
        <v>17</v>
      </c>
      <c r="E133" t="s">
        <v>11</v>
      </c>
      <c r="F133" t="s">
        <v>18</v>
      </c>
      <c r="G133" t="s">
        <v>311</v>
      </c>
      <c r="H133" t="str">
        <f>VLOOKUP(E133,منظر!A:B,2,0)</f>
        <v>V001</v>
      </c>
      <c r="I133" t="str">
        <f>VLOOKUP(A133,استراتژی!A:B,2,0)</f>
        <v>S002</v>
      </c>
      <c r="J133" t="str">
        <f>VLOOKUP(D133,دپارتمان!A:B,2,0)</f>
        <v>D002</v>
      </c>
      <c r="K133" t="str">
        <f>VLOOKUP(F133,'واحد سنجش'!A:B,2,0)</f>
        <v>U002</v>
      </c>
    </row>
    <row r="134" spans="1:11" x14ac:dyDescent="0.25">
      <c r="A134" t="s">
        <v>14</v>
      </c>
      <c r="B134" t="s">
        <v>53</v>
      </c>
      <c r="C134" t="s">
        <v>312</v>
      </c>
      <c r="D134" t="s">
        <v>313</v>
      </c>
      <c r="E134" t="s">
        <v>11</v>
      </c>
      <c r="F134" t="s">
        <v>18</v>
      </c>
      <c r="G134" t="s">
        <v>314</v>
      </c>
      <c r="H134" t="str">
        <f>VLOOKUP(E134,منظر!A:B,2,0)</f>
        <v>V001</v>
      </c>
      <c r="I134" t="str">
        <f>VLOOKUP(A134,استراتژی!A:B,2,0)</f>
        <v>S002</v>
      </c>
      <c r="J134" t="str">
        <f>VLOOKUP(D134,دپارتمان!A:B,2,0)</f>
        <v>D011</v>
      </c>
      <c r="K134" t="str">
        <f>VLOOKUP(F134,'واحد سنجش'!A:B,2,0)</f>
        <v>U002</v>
      </c>
    </row>
    <row r="135" spans="1:11" x14ac:dyDescent="0.25">
      <c r="A135" t="s">
        <v>7</v>
      </c>
      <c r="B135" t="s">
        <v>8</v>
      </c>
      <c r="C135" t="s">
        <v>315</v>
      </c>
      <c r="D135" t="s">
        <v>10</v>
      </c>
      <c r="E135" t="s">
        <v>11</v>
      </c>
      <c r="F135" t="s">
        <v>12</v>
      </c>
      <c r="G135" t="s">
        <v>316</v>
      </c>
      <c r="H135" t="str">
        <f>VLOOKUP(E135,منظر!A:B,2,0)</f>
        <v>V001</v>
      </c>
      <c r="I135" t="str">
        <f>VLOOKUP(A135,استراتژی!A:B,2,0)</f>
        <v>S001</v>
      </c>
      <c r="J135" t="str">
        <f>VLOOKUP(D135,دپارتمان!A:B,2,0)</f>
        <v>D001</v>
      </c>
      <c r="K135" t="str">
        <f>VLOOKUP(F135,'واحد سنجش'!A:B,2,0)</f>
        <v>U001</v>
      </c>
    </row>
    <row r="136" spans="1:11" x14ac:dyDescent="0.25">
      <c r="A136" t="s">
        <v>7</v>
      </c>
      <c r="B136" t="s">
        <v>8</v>
      </c>
      <c r="C136" t="s">
        <v>317</v>
      </c>
      <c r="D136" t="s">
        <v>10</v>
      </c>
      <c r="E136" t="s">
        <v>11</v>
      </c>
      <c r="F136" t="s">
        <v>12</v>
      </c>
      <c r="G136" t="s">
        <v>318</v>
      </c>
      <c r="H136" t="str">
        <f>VLOOKUP(E136,منظر!A:B,2,0)</f>
        <v>V001</v>
      </c>
      <c r="I136" t="str">
        <f>VLOOKUP(A136,استراتژی!A:B,2,0)</f>
        <v>S001</v>
      </c>
      <c r="J136" t="str">
        <f>VLOOKUP(D136,دپارتمان!A:B,2,0)</f>
        <v>D001</v>
      </c>
      <c r="K136" t="str">
        <f>VLOOKUP(F136,'واحد سنجش'!A:B,2,0)</f>
        <v>U001</v>
      </c>
    </row>
    <row r="137" spans="1:11" x14ac:dyDescent="0.25">
      <c r="A137" t="s">
        <v>118</v>
      </c>
      <c r="B137" t="s">
        <v>53</v>
      </c>
      <c r="C137" t="s">
        <v>319</v>
      </c>
      <c r="D137" t="s">
        <v>107</v>
      </c>
      <c r="E137" t="s">
        <v>11</v>
      </c>
      <c r="F137" t="s">
        <v>153</v>
      </c>
      <c r="G137" t="s">
        <v>320</v>
      </c>
      <c r="H137" t="str">
        <f>VLOOKUP(E137,منظر!A:B,2,0)</f>
        <v>V001</v>
      </c>
      <c r="I137" t="str">
        <f>VLOOKUP(A137,استراتژی!A:B,2,0)</f>
        <v>S009</v>
      </c>
      <c r="J137" t="str">
        <f>VLOOKUP(D137,دپارتمان!A:B,2,0)</f>
        <v>D005</v>
      </c>
      <c r="K137" t="str">
        <f>VLOOKUP(F137,'واحد سنجش'!A:B,2,0)</f>
        <v>U009</v>
      </c>
    </row>
    <row r="138" spans="1:11" x14ac:dyDescent="0.25">
      <c r="A138" t="s">
        <v>118</v>
      </c>
      <c r="B138" t="s">
        <v>8</v>
      </c>
      <c r="C138" t="s">
        <v>321</v>
      </c>
      <c r="D138" t="s">
        <v>322</v>
      </c>
      <c r="E138" t="s">
        <v>11</v>
      </c>
      <c r="F138" t="s">
        <v>12</v>
      </c>
      <c r="G138" t="s">
        <v>323</v>
      </c>
      <c r="H138" t="str">
        <f>VLOOKUP(E138,منظر!A:B,2,0)</f>
        <v>V001</v>
      </c>
      <c r="I138" t="str">
        <f>VLOOKUP(A138,استراتژی!A:B,2,0)</f>
        <v>S009</v>
      </c>
      <c r="J138" t="str">
        <f>VLOOKUP(D138,دپارتمان!A:B,2,0)</f>
        <v>D012</v>
      </c>
      <c r="K138" t="str">
        <f>VLOOKUP(F138,'واحد سنجش'!A:B,2,0)</f>
        <v>U001</v>
      </c>
    </row>
    <row r="139" spans="1:11" x14ac:dyDescent="0.25">
      <c r="A139" t="s">
        <v>14</v>
      </c>
      <c r="B139" t="s">
        <v>53</v>
      </c>
      <c r="C139" t="s">
        <v>324</v>
      </c>
      <c r="D139" t="s">
        <v>17</v>
      </c>
      <c r="E139" t="s">
        <v>11</v>
      </c>
      <c r="F139" t="s">
        <v>18</v>
      </c>
      <c r="G139" t="s">
        <v>325</v>
      </c>
      <c r="H139" t="str">
        <f>VLOOKUP(E139,منظر!A:B,2,0)</f>
        <v>V001</v>
      </c>
      <c r="I139" t="str">
        <f>VLOOKUP(A139,استراتژی!A:B,2,0)</f>
        <v>S002</v>
      </c>
      <c r="J139" t="str">
        <f>VLOOKUP(D139,دپارتمان!A:B,2,0)</f>
        <v>D002</v>
      </c>
      <c r="K139" t="str">
        <f>VLOOKUP(F139,'واحد سنجش'!A:B,2,0)</f>
        <v>U002</v>
      </c>
    </row>
    <row r="140" spans="1:11" x14ac:dyDescent="0.25">
      <c r="A140" t="s">
        <v>14</v>
      </c>
      <c r="B140" t="s">
        <v>53</v>
      </c>
      <c r="C140" t="s">
        <v>326</v>
      </c>
      <c r="D140" t="s">
        <v>17</v>
      </c>
      <c r="E140" t="s">
        <v>11</v>
      </c>
      <c r="F140" t="s">
        <v>18</v>
      </c>
      <c r="G140" t="s">
        <v>327</v>
      </c>
      <c r="H140" t="str">
        <f>VLOOKUP(E140,منظر!A:B,2,0)</f>
        <v>V001</v>
      </c>
      <c r="I140" t="str">
        <f>VLOOKUP(A140,استراتژی!A:B,2,0)</f>
        <v>S002</v>
      </c>
      <c r="J140" t="str">
        <f>VLOOKUP(D140,دپارتمان!A:B,2,0)</f>
        <v>D002</v>
      </c>
      <c r="K140" t="str">
        <f>VLOOKUP(F140,'واحد سنجش'!A:B,2,0)</f>
        <v>U002</v>
      </c>
    </row>
    <row r="141" spans="1:11" x14ac:dyDescent="0.25">
      <c r="A141" t="s">
        <v>14</v>
      </c>
      <c r="B141" t="s">
        <v>53</v>
      </c>
      <c r="C141" t="s">
        <v>328</v>
      </c>
      <c r="D141" t="s">
        <v>107</v>
      </c>
      <c r="E141" t="s">
        <v>11</v>
      </c>
      <c r="F141" t="s">
        <v>18</v>
      </c>
      <c r="G141" t="s">
        <v>329</v>
      </c>
      <c r="H141" t="str">
        <f>VLOOKUP(E141,منظر!A:B,2,0)</f>
        <v>V001</v>
      </c>
      <c r="I141" t="str">
        <f>VLOOKUP(A141,استراتژی!A:B,2,0)</f>
        <v>S002</v>
      </c>
      <c r="J141" t="str">
        <f>VLOOKUP(D141,دپارتمان!A:B,2,0)</f>
        <v>D005</v>
      </c>
      <c r="K141" t="str">
        <f>VLOOKUP(F141,'واحد سنجش'!A:B,2,0)</f>
        <v>U002</v>
      </c>
    </row>
    <row r="142" spans="1:11" x14ac:dyDescent="0.25">
      <c r="A142" t="s">
        <v>14</v>
      </c>
      <c r="B142" t="s">
        <v>53</v>
      </c>
      <c r="C142" t="s">
        <v>330</v>
      </c>
      <c r="D142" t="s">
        <v>331</v>
      </c>
      <c r="E142" t="s">
        <v>11</v>
      </c>
      <c r="F142" t="s">
        <v>18</v>
      </c>
      <c r="G142" t="s">
        <v>332</v>
      </c>
      <c r="H142" t="str">
        <f>VLOOKUP(E142,منظر!A:B,2,0)</f>
        <v>V001</v>
      </c>
      <c r="I142" t="str">
        <f>VLOOKUP(A142,استراتژی!A:B,2,0)</f>
        <v>S002</v>
      </c>
      <c r="J142" t="str">
        <f>VLOOKUP(D142,دپارتمان!A:B,2,0)</f>
        <v>D013</v>
      </c>
      <c r="K142" t="str">
        <f>VLOOKUP(F142,'واحد سنجش'!A:B,2,0)</f>
        <v>U002</v>
      </c>
    </row>
    <row r="143" spans="1:11" x14ac:dyDescent="0.25">
      <c r="A143" t="s">
        <v>184</v>
      </c>
      <c r="B143" t="s">
        <v>8</v>
      </c>
      <c r="C143" t="s">
        <v>333</v>
      </c>
      <c r="D143" t="s">
        <v>322</v>
      </c>
      <c r="E143" t="s">
        <v>62</v>
      </c>
      <c r="F143" t="s">
        <v>36</v>
      </c>
      <c r="G143" t="s">
        <v>334</v>
      </c>
      <c r="H143" t="str">
        <f>VLOOKUP(E143,منظر!A:B,2,0)</f>
        <v>V003</v>
      </c>
      <c r="I143" t="str">
        <f>VLOOKUP(A143,استراتژی!A:B,2,0)</f>
        <v>S013</v>
      </c>
      <c r="J143" t="str">
        <f>VLOOKUP(D143,دپارتمان!A:B,2,0)</f>
        <v>D012</v>
      </c>
      <c r="K143" t="str">
        <f>VLOOKUP(F143,'واحد سنجش'!A:B,2,0)</f>
        <v>U003</v>
      </c>
    </row>
    <row r="144" spans="1:11" x14ac:dyDescent="0.25">
      <c r="A144" t="s">
        <v>25</v>
      </c>
      <c r="B144" t="s">
        <v>8</v>
      </c>
      <c r="C144" t="s">
        <v>335</v>
      </c>
      <c r="D144" t="s">
        <v>322</v>
      </c>
      <c r="E144" t="s">
        <v>23</v>
      </c>
      <c r="F144" t="s">
        <v>336</v>
      </c>
      <c r="G144" t="s">
        <v>337</v>
      </c>
      <c r="H144" t="str">
        <f>VLOOKUP(E144,منظر!A:B,2,0)</f>
        <v>V002</v>
      </c>
      <c r="I144" t="str">
        <f>VLOOKUP(A144,استراتژی!A:B,2,0)</f>
        <v>S004</v>
      </c>
      <c r="J144" t="str">
        <f>VLOOKUP(D144,دپارتمان!A:B,2,0)</f>
        <v>D012</v>
      </c>
      <c r="K144" t="str">
        <f>VLOOKUP(F144,'واحد سنجش'!A:B,2,0)</f>
        <v>U010</v>
      </c>
    </row>
    <row r="145" spans="1:11" x14ac:dyDescent="0.25">
      <c r="A145" t="s">
        <v>25</v>
      </c>
      <c r="B145" t="s">
        <v>8</v>
      </c>
      <c r="C145" t="s">
        <v>338</v>
      </c>
      <c r="D145" t="s">
        <v>322</v>
      </c>
      <c r="E145" t="s">
        <v>23</v>
      </c>
      <c r="F145" t="s">
        <v>12</v>
      </c>
      <c r="G145" t="s">
        <v>339</v>
      </c>
      <c r="H145" t="str">
        <f>VLOOKUP(E145,منظر!A:B,2,0)</f>
        <v>V002</v>
      </c>
      <c r="I145" t="str">
        <f>VLOOKUP(A145,استراتژی!A:B,2,0)</f>
        <v>S004</v>
      </c>
      <c r="J145" t="str">
        <f>VLOOKUP(D145,دپارتمان!A:B,2,0)</f>
        <v>D012</v>
      </c>
      <c r="K145" t="str">
        <f>VLOOKUP(F145,'واحد سنجش'!A:B,2,0)</f>
        <v>U001</v>
      </c>
    </row>
    <row r="146" spans="1:11" x14ac:dyDescent="0.25">
      <c r="A146" t="s">
        <v>25</v>
      </c>
      <c r="B146" t="s">
        <v>8</v>
      </c>
      <c r="C146" t="s">
        <v>340</v>
      </c>
      <c r="D146" t="s">
        <v>322</v>
      </c>
      <c r="E146" t="s">
        <v>23</v>
      </c>
      <c r="F146" t="s">
        <v>12</v>
      </c>
      <c r="G146" t="s">
        <v>341</v>
      </c>
      <c r="H146" t="str">
        <f>VLOOKUP(E146,منظر!A:B,2,0)</f>
        <v>V002</v>
      </c>
      <c r="I146" t="str">
        <f>VLOOKUP(A146,استراتژی!A:B,2,0)</f>
        <v>S004</v>
      </c>
      <c r="J146" t="str">
        <f>VLOOKUP(D146,دپارتمان!A:B,2,0)</f>
        <v>D012</v>
      </c>
      <c r="K146" t="str">
        <f>VLOOKUP(F146,'واحد سنجش'!A:B,2,0)</f>
        <v>U001</v>
      </c>
    </row>
    <row r="147" spans="1:11" x14ac:dyDescent="0.25">
      <c r="A147" t="s">
        <v>25</v>
      </c>
      <c r="B147" t="s">
        <v>53</v>
      </c>
      <c r="C147" t="s">
        <v>342</v>
      </c>
      <c r="D147" t="s">
        <v>322</v>
      </c>
      <c r="E147" t="s">
        <v>23</v>
      </c>
      <c r="F147" t="s">
        <v>336</v>
      </c>
      <c r="G147" t="s">
        <v>343</v>
      </c>
      <c r="H147" t="str">
        <f>VLOOKUP(E147,منظر!A:B,2,0)</f>
        <v>V002</v>
      </c>
      <c r="I147" t="str">
        <f>VLOOKUP(A147,استراتژی!A:B,2,0)</f>
        <v>S004</v>
      </c>
      <c r="J147" t="str">
        <f>VLOOKUP(D147,دپارتمان!A:B,2,0)</f>
        <v>D012</v>
      </c>
      <c r="K147" t="str">
        <f>VLOOKUP(F147,'واحد سنجش'!A:B,2,0)</f>
        <v>U010</v>
      </c>
    </row>
    <row r="148" spans="1:11" x14ac:dyDescent="0.25">
      <c r="A148" t="s">
        <v>34</v>
      </c>
      <c r="B148" t="s">
        <v>8</v>
      </c>
      <c r="C148" t="s">
        <v>344</v>
      </c>
      <c r="D148" t="s">
        <v>322</v>
      </c>
      <c r="E148" t="s">
        <v>23</v>
      </c>
      <c r="F148" t="s">
        <v>116</v>
      </c>
      <c r="G148" t="s">
        <v>345</v>
      </c>
      <c r="H148" t="str">
        <f>VLOOKUP(E148,منظر!A:B,2,0)</f>
        <v>V002</v>
      </c>
      <c r="I148" t="str">
        <f>VLOOKUP(A148,استراتژی!A:B,2,0)</f>
        <v>S005</v>
      </c>
      <c r="J148" t="str">
        <f>VLOOKUP(D148,دپارتمان!A:B,2,0)</f>
        <v>D012</v>
      </c>
      <c r="K148" t="str">
        <f>VLOOKUP(F148,'واحد سنجش'!A:B,2,0)</f>
        <v>U007</v>
      </c>
    </row>
    <row r="149" spans="1:11" x14ac:dyDescent="0.25">
      <c r="A149" t="s">
        <v>34</v>
      </c>
      <c r="B149" t="s">
        <v>8</v>
      </c>
      <c r="C149" t="s">
        <v>346</v>
      </c>
      <c r="D149" t="s">
        <v>322</v>
      </c>
      <c r="E149" t="s">
        <v>23</v>
      </c>
      <c r="F149" t="s">
        <v>12</v>
      </c>
      <c r="G149" t="s">
        <v>347</v>
      </c>
      <c r="H149" t="str">
        <f>VLOOKUP(E149,منظر!A:B,2,0)</f>
        <v>V002</v>
      </c>
      <c r="I149" t="str">
        <f>VLOOKUP(A149,استراتژی!A:B,2,0)</f>
        <v>S005</v>
      </c>
      <c r="J149" t="str">
        <f>VLOOKUP(D149,دپارتمان!A:B,2,0)</f>
        <v>D012</v>
      </c>
      <c r="K149" t="str">
        <f>VLOOKUP(F149,'واحد سنجش'!A:B,2,0)</f>
        <v>U001</v>
      </c>
    </row>
    <row r="150" spans="1:11" x14ac:dyDescent="0.25">
      <c r="A150" t="s">
        <v>118</v>
      </c>
      <c r="B150" t="s">
        <v>8</v>
      </c>
      <c r="C150" t="s">
        <v>348</v>
      </c>
      <c r="D150" t="s">
        <v>322</v>
      </c>
      <c r="E150" t="s">
        <v>11</v>
      </c>
      <c r="F150" t="s">
        <v>12</v>
      </c>
      <c r="G150" t="s">
        <v>349</v>
      </c>
      <c r="H150" t="str">
        <f>VLOOKUP(E150,منظر!A:B,2,0)</f>
        <v>V001</v>
      </c>
      <c r="I150" t="str">
        <f>VLOOKUP(A150,استراتژی!A:B,2,0)</f>
        <v>S009</v>
      </c>
      <c r="J150" t="str">
        <f>VLOOKUP(D150,دپارتمان!A:B,2,0)</f>
        <v>D012</v>
      </c>
      <c r="K150" t="str">
        <f>VLOOKUP(F150,'واحد سنجش'!A:B,2,0)</f>
        <v>U001</v>
      </c>
    </row>
    <row r="151" spans="1:11" x14ac:dyDescent="0.25">
      <c r="A151" t="s">
        <v>118</v>
      </c>
      <c r="B151" t="s">
        <v>53</v>
      </c>
      <c r="C151" t="s">
        <v>350</v>
      </c>
      <c r="D151" t="s">
        <v>322</v>
      </c>
      <c r="E151" t="s">
        <v>11</v>
      </c>
      <c r="F151" t="s">
        <v>153</v>
      </c>
      <c r="G151" t="s">
        <v>351</v>
      </c>
      <c r="H151" t="str">
        <f>VLOOKUP(E151,منظر!A:B,2,0)</f>
        <v>V001</v>
      </c>
      <c r="I151" t="str">
        <f>VLOOKUP(A151,استراتژی!A:B,2,0)</f>
        <v>S009</v>
      </c>
      <c r="J151" t="str">
        <f>VLOOKUP(D151,دپارتمان!A:B,2,0)</f>
        <v>D012</v>
      </c>
      <c r="K151" t="str">
        <f>VLOOKUP(F151,'واحد سنجش'!A:B,2,0)</f>
        <v>U009</v>
      </c>
    </row>
    <row r="152" spans="1:11" x14ac:dyDescent="0.25">
      <c r="A152" t="s">
        <v>118</v>
      </c>
      <c r="B152" t="s">
        <v>53</v>
      </c>
      <c r="C152" t="s">
        <v>352</v>
      </c>
      <c r="D152" t="s">
        <v>322</v>
      </c>
      <c r="E152" t="s">
        <v>11</v>
      </c>
      <c r="F152" t="s">
        <v>153</v>
      </c>
      <c r="G152" t="s">
        <v>353</v>
      </c>
      <c r="H152" t="str">
        <f>VLOOKUP(E152,منظر!A:B,2,0)</f>
        <v>V001</v>
      </c>
      <c r="I152" t="str">
        <f>VLOOKUP(A152,استراتژی!A:B,2,0)</f>
        <v>S009</v>
      </c>
      <c r="J152" t="str">
        <f>VLOOKUP(D152,دپارتمان!A:B,2,0)</f>
        <v>D012</v>
      </c>
      <c r="K152" t="str">
        <f>VLOOKUP(F152,'واحد سنجش'!A:B,2,0)</f>
        <v>U009</v>
      </c>
    </row>
    <row r="153" spans="1:11" x14ac:dyDescent="0.25">
      <c r="A153" t="s">
        <v>105</v>
      </c>
      <c r="B153" t="s">
        <v>8</v>
      </c>
      <c r="C153" t="s">
        <v>354</v>
      </c>
      <c r="D153" t="s">
        <v>322</v>
      </c>
      <c r="E153" t="s">
        <v>107</v>
      </c>
      <c r="F153" t="s">
        <v>12</v>
      </c>
      <c r="G153" t="s">
        <v>355</v>
      </c>
      <c r="H153" t="str">
        <f>VLOOKUP(E153,منظر!A:B,2,0)</f>
        <v>V004</v>
      </c>
      <c r="I153" t="str">
        <f>VLOOKUP(A153,استراتژی!A:B,2,0)</f>
        <v>S007</v>
      </c>
      <c r="J153" t="str">
        <f>VLOOKUP(D153,دپارتمان!A:B,2,0)</f>
        <v>D012</v>
      </c>
      <c r="K153" t="str">
        <f>VLOOKUP(F153,'واحد سنجش'!A:B,2,0)</f>
        <v>U001</v>
      </c>
    </row>
    <row r="154" spans="1:11" x14ac:dyDescent="0.25">
      <c r="A154" t="s">
        <v>14</v>
      </c>
      <c r="B154" t="s">
        <v>53</v>
      </c>
      <c r="C154" t="s">
        <v>356</v>
      </c>
      <c r="D154" t="s">
        <v>322</v>
      </c>
      <c r="E154" t="s">
        <v>11</v>
      </c>
      <c r="F154" t="s">
        <v>18</v>
      </c>
      <c r="G154" t="s">
        <v>357</v>
      </c>
      <c r="H154" t="str">
        <f>VLOOKUP(E154,منظر!A:B,2,0)</f>
        <v>V001</v>
      </c>
      <c r="I154" t="str">
        <f>VLOOKUP(A154,استراتژی!A:B,2,0)</f>
        <v>S002</v>
      </c>
      <c r="J154" t="str">
        <f>VLOOKUP(D154,دپارتمان!A:B,2,0)</f>
        <v>D012</v>
      </c>
      <c r="K154" t="str">
        <f>VLOOKUP(F154,'واحد سنجش'!A:B,2,0)</f>
        <v>U002</v>
      </c>
    </row>
    <row r="155" spans="1:11" x14ac:dyDescent="0.25">
      <c r="A155" t="s">
        <v>167</v>
      </c>
      <c r="B155" t="s">
        <v>8</v>
      </c>
      <c r="C155" t="s">
        <v>358</v>
      </c>
      <c r="D155" t="s">
        <v>322</v>
      </c>
      <c r="E155" t="s">
        <v>62</v>
      </c>
      <c r="F155" t="s">
        <v>12</v>
      </c>
      <c r="G155" t="s">
        <v>359</v>
      </c>
      <c r="H155" t="str">
        <f>VLOOKUP(E155,منظر!A:B,2,0)</f>
        <v>V003</v>
      </c>
      <c r="I155" t="str">
        <f>VLOOKUP(A155,استراتژی!A:B,2,0)</f>
        <v>S010</v>
      </c>
      <c r="J155" t="str">
        <f>VLOOKUP(D155,دپارتمان!A:B,2,0)</f>
        <v>D012</v>
      </c>
      <c r="K155" t="str">
        <f>VLOOKUP(F155,'واحد سنجش'!A:B,2,0)</f>
        <v>U001</v>
      </c>
    </row>
    <row r="156" spans="1:11" x14ac:dyDescent="0.25">
      <c r="A156" t="s">
        <v>7</v>
      </c>
      <c r="B156" t="s">
        <v>8</v>
      </c>
      <c r="C156" t="s">
        <v>360</v>
      </c>
      <c r="D156" t="s">
        <v>322</v>
      </c>
      <c r="E156" t="s">
        <v>11</v>
      </c>
      <c r="F156" t="s">
        <v>36</v>
      </c>
      <c r="G156" t="s">
        <v>361</v>
      </c>
      <c r="H156" t="str">
        <f>VLOOKUP(E156,منظر!A:B,2,0)</f>
        <v>V001</v>
      </c>
      <c r="I156" t="str">
        <f>VLOOKUP(A156,استراتژی!A:B,2,0)</f>
        <v>S001</v>
      </c>
      <c r="J156" t="str">
        <f>VLOOKUP(D156,دپارتمان!A:B,2,0)</f>
        <v>D012</v>
      </c>
      <c r="K156" t="str">
        <f>VLOOKUP(F156,'واحد سنجش'!A:B,2,0)</f>
        <v>U003</v>
      </c>
    </row>
    <row r="157" spans="1:11" x14ac:dyDescent="0.25">
      <c r="A157" t="s">
        <v>7</v>
      </c>
      <c r="B157" t="s">
        <v>8</v>
      </c>
      <c r="C157" t="s">
        <v>362</v>
      </c>
      <c r="D157" t="s">
        <v>322</v>
      </c>
      <c r="E157" t="s">
        <v>11</v>
      </c>
      <c r="F157" t="s">
        <v>12</v>
      </c>
      <c r="G157" t="s">
        <v>363</v>
      </c>
      <c r="H157" t="str">
        <f>VLOOKUP(E157,منظر!A:B,2,0)</f>
        <v>V001</v>
      </c>
      <c r="I157" t="str">
        <f>VLOOKUP(A157,استراتژی!A:B,2,0)</f>
        <v>S001</v>
      </c>
      <c r="J157" t="str">
        <f>VLOOKUP(D157,دپارتمان!A:B,2,0)</f>
        <v>D012</v>
      </c>
      <c r="K157" t="str">
        <f>VLOOKUP(F157,'واحد سنجش'!A:B,2,0)</f>
        <v>U001</v>
      </c>
    </row>
    <row r="158" spans="1:11" x14ac:dyDescent="0.25">
      <c r="A158" t="s">
        <v>254</v>
      </c>
      <c r="B158" t="s">
        <v>53</v>
      </c>
      <c r="C158" t="s">
        <v>364</v>
      </c>
      <c r="D158" t="s">
        <v>322</v>
      </c>
      <c r="E158" t="s">
        <v>11</v>
      </c>
      <c r="F158" t="s">
        <v>153</v>
      </c>
      <c r="G158" t="s">
        <v>365</v>
      </c>
      <c r="H158" t="str">
        <f>VLOOKUP(E158,منظر!A:B,2,0)</f>
        <v>V001</v>
      </c>
      <c r="I158" t="str">
        <f>VLOOKUP(A158,استراتژی!A:B,2,0)</f>
        <v>S015</v>
      </c>
      <c r="J158" t="str">
        <f>VLOOKUP(D158,دپارتمان!A:B,2,0)</f>
        <v>D012</v>
      </c>
      <c r="K158" t="str">
        <f>VLOOKUP(F158,'واحد سنجش'!A:B,2,0)</f>
        <v>U009</v>
      </c>
    </row>
    <row r="159" spans="1:11" x14ac:dyDescent="0.25">
      <c r="A159" t="s">
        <v>261</v>
      </c>
      <c r="B159" t="s">
        <v>8</v>
      </c>
      <c r="C159" t="s">
        <v>366</v>
      </c>
      <c r="D159" t="s">
        <v>322</v>
      </c>
      <c r="E159" t="s">
        <v>62</v>
      </c>
      <c r="F159" t="s">
        <v>12</v>
      </c>
      <c r="G159" t="s">
        <v>367</v>
      </c>
      <c r="H159" t="str">
        <f>VLOOKUP(E159,منظر!A:B,2,0)</f>
        <v>V003</v>
      </c>
      <c r="I159" t="str">
        <f>VLOOKUP(A159,استراتژی!A:B,2,0)</f>
        <v>S016</v>
      </c>
      <c r="J159" t="str">
        <f>VLOOKUP(D159,دپارتمان!A:B,2,0)</f>
        <v>D012</v>
      </c>
      <c r="K159" t="str">
        <f>VLOOKUP(F159,'واحد سنجش'!A:B,2,0)</f>
        <v>U001</v>
      </c>
    </row>
    <row r="160" spans="1:11" x14ac:dyDescent="0.25">
      <c r="A160" t="s">
        <v>261</v>
      </c>
      <c r="B160" t="s">
        <v>8</v>
      </c>
      <c r="C160" t="s">
        <v>368</v>
      </c>
      <c r="D160" t="s">
        <v>322</v>
      </c>
      <c r="E160" t="s">
        <v>62</v>
      </c>
      <c r="F160" t="s">
        <v>12</v>
      </c>
      <c r="G160" t="s">
        <v>369</v>
      </c>
      <c r="H160" t="str">
        <f>VLOOKUP(E160,منظر!A:B,2,0)</f>
        <v>V003</v>
      </c>
      <c r="I160" t="str">
        <f>VLOOKUP(A160,استراتژی!A:B,2,0)</f>
        <v>S016</v>
      </c>
      <c r="J160" t="str">
        <f>VLOOKUP(D160,دپارتمان!A:B,2,0)</f>
        <v>D012</v>
      </c>
      <c r="K160" t="str">
        <f>VLOOKUP(F160,'واحد سنجش'!A:B,2,0)</f>
        <v>U001</v>
      </c>
    </row>
    <row r="161" spans="1:11" x14ac:dyDescent="0.25">
      <c r="A161" t="s">
        <v>261</v>
      </c>
      <c r="B161" t="s">
        <v>53</v>
      </c>
      <c r="C161" t="s">
        <v>370</v>
      </c>
      <c r="D161" t="s">
        <v>322</v>
      </c>
      <c r="E161" t="s">
        <v>62</v>
      </c>
      <c r="F161" t="s">
        <v>153</v>
      </c>
      <c r="G161" t="s">
        <v>371</v>
      </c>
      <c r="H161" t="str">
        <f>VLOOKUP(E161,منظر!A:B,2,0)</f>
        <v>V003</v>
      </c>
      <c r="I161" t="str">
        <f>VLOOKUP(A161,استراتژی!A:B,2,0)</f>
        <v>S016</v>
      </c>
      <c r="J161" t="str">
        <f>VLOOKUP(D161,دپارتمان!A:B,2,0)</f>
        <v>D012</v>
      </c>
      <c r="K161" t="str">
        <f>VLOOKUP(F161,'واحد سنجش'!A:B,2,0)</f>
        <v>U009</v>
      </c>
    </row>
    <row r="162" spans="1:11" x14ac:dyDescent="0.25">
      <c r="A162" t="s">
        <v>261</v>
      </c>
      <c r="B162" t="s">
        <v>53</v>
      </c>
      <c r="C162" t="s">
        <v>372</v>
      </c>
      <c r="D162" t="s">
        <v>322</v>
      </c>
      <c r="E162" t="s">
        <v>62</v>
      </c>
      <c r="F162" t="s">
        <v>79</v>
      </c>
      <c r="G162" t="s">
        <v>373</v>
      </c>
      <c r="H162" t="str">
        <f>VLOOKUP(E162,منظر!A:B,2,0)</f>
        <v>V003</v>
      </c>
      <c r="I162" t="str">
        <f>VLOOKUP(A162,استراتژی!A:B,2,0)</f>
        <v>S016</v>
      </c>
      <c r="J162" t="str">
        <f>VLOOKUP(D162,دپارتمان!A:B,2,0)</f>
        <v>D012</v>
      </c>
      <c r="K162" t="str">
        <f>VLOOKUP(F162,'واحد سنجش'!A:B,2,0)</f>
        <v>U006</v>
      </c>
    </row>
    <row r="163" spans="1:11" x14ac:dyDescent="0.25">
      <c r="A163" t="s">
        <v>14</v>
      </c>
      <c r="B163" t="s">
        <v>53</v>
      </c>
      <c r="C163" t="s">
        <v>374</v>
      </c>
      <c r="D163" t="s">
        <v>107</v>
      </c>
      <c r="E163" t="s">
        <v>11</v>
      </c>
      <c r="F163" t="s">
        <v>18</v>
      </c>
      <c r="G163" t="s">
        <v>375</v>
      </c>
      <c r="H163" t="str">
        <f>VLOOKUP(E163,منظر!A:B,2,0)</f>
        <v>V001</v>
      </c>
      <c r="I163" t="str">
        <f>VLOOKUP(A163,استراتژی!A:B,2,0)</f>
        <v>S002</v>
      </c>
      <c r="J163" t="str">
        <f>VLOOKUP(D163,دپارتمان!A:B,2,0)</f>
        <v>D005</v>
      </c>
      <c r="K163" t="str">
        <f>VLOOKUP(F163,'واحد سنجش'!A:B,2,0)</f>
        <v>U002</v>
      </c>
    </row>
    <row r="164" spans="1:11" x14ac:dyDescent="0.25">
      <c r="A164" t="s">
        <v>114</v>
      </c>
      <c r="B164" t="s">
        <v>8</v>
      </c>
      <c r="C164" t="s">
        <v>376</v>
      </c>
      <c r="D164" t="s">
        <v>331</v>
      </c>
      <c r="E164" t="s">
        <v>107</v>
      </c>
      <c r="F164" t="s">
        <v>55</v>
      </c>
      <c r="G164" t="s">
        <v>377</v>
      </c>
      <c r="H164" t="str">
        <f>VLOOKUP(E164,منظر!A:B,2,0)</f>
        <v>V004</v>
      </c>
      <c r="I164" t="str">
        <f>VLOOKUP(A164,استراتژی!A:B,2,0)</f>
        <v>S008</v>
      </c>
      <c r="J164" t="str">
        <f>VLOOKUP(D164,دپارتمان!A:B,2,0)</f>
        <v>D013</v>
      </c>
      <c r="K164" t="str">
        <f>VLOOKUP(F164,'واحد سنجش'!A:B,2,0)</f>
        <v>U005</v>
      </c>
    </row>
    <row r="165" spans="1:11" x14ac:dyDescent="0.25">
      <c r="A165" t="s">
        <v>181</v>
      </c>
      <c r="B165" t="s">
        <v>8</v>
      </c>
      <c r="C165" t="s">
        <v>378</v>
      </c>
      <c r="D165" t="s">
        <v>107</v>
      </c>
      <c r="E165" t="s">
        <v>107</v>
      </c>
      <c r="F165" t="s">
        <v>18</v>
      </c>
      <c r="G165" t="s">
        <v>379</v>
      </c>
      <c r="H165" t="str">
        <f>VLOOKUP(E165,منظر!A:B,2,0)</f>
        <v>V004</v>
      </c>
      <c r="I165" t="str">
        <f>VLOOKUP(A165,استراتژی!A:B,2,0)</f>
        <v>S012</v>
      </c>
      <c r="J165" t="str">
        <f>VLOOKUP(D165,دپارتمان!A:B,2,0)</f>
        <v>D005</v>
      </c>
      <c r="K165" t="str">
        <f>VLOOKUP(F165,'واحد سنجش'!A:B,2,0)</f>
        <v>U002</v>
      </c>
    </row>
    <row r="166" spans="1:11" x14ac:dyDescent="0.25">
      <c r="A166" t="s">
        <v>181</v>
      </c>
      <c r="B166" t="s">
        <v>8</v>
      </c>
      <c r="C166" t="s">
        <v>380</v>
      </c>
      <c r="D166" t="s">
        <v>265</v>
      </c>
      <c r="E166" t="s">
        <v>107</v>
      </c>
      <c r="F166" t="s">
        <v>18</v>
      </c>
      <c r="G166" t="s">
        <v>381</v>
      </c>
      <c r="H166" t="str">
        <f>VLOOKUP(E166,منظر!A:B,2,0)</f>
        <v>V004</v>
      </c>
      <c r="I166" t="str">
        <f>VLOOKUP(A166,استراتژی!A:B,2,0)</f>
        <v>S012</v>
      </c>
      <c r="J166" t="str">
        <f>VLOOKUP(D166,دپارتمان!A:B,2,0)</f>
        <v>D009</v>
      </c>
      <c r="K166" t="str">
        <f>VLOOKUP(F166,'واحد سنجش'!A:B,2,0)</f>
        <v>U002</v>
      </c>
    </row>
    <row r="167" spans="1:11" x14ac:dyDescent="0.25">
      <c r="A167" t="s">
        <v>181</v>
      </c>
      <c r="B167" t="s">
        <v>8</v>
      </c>
      <c r="C167" t="s">
        <v>382</v>
      </c>
      <c r="D167" t="s">
        <v>265</v>
      </c>
      <c r="E167" t="s">
        <v>107</v>
      </c>
      <c r="F167" t="s">
        <v>18</v>
      </c>
      <c r="G167" t="s">
        <v>383</v>
      </c>
      <c r="H167" t="str">
        <f>VLOOKUP(E167,منظر!A:B,2,0)</f>
        <v>V004</v>
      </c>
      <c r="I167" t="str">
        <f>VLOOKUP(A167,استراتژی!A:B,2,0)</f>
        <v>S012</v>
      </c>
      <c r="J167" t="str">
        <f>VLOOKUP(D167,دپارتمان!A:B,2,0)</f>
        <v>D009</v>
      </c>
      <c r="K167" t="str">
        <f>VLOOKUP(F167,'واحد سنجش'!A:B,2,0)</f>
        <v>U002</v>
      </c>
    </row>
    <row r="168" spans="1:11" x14ac:dyDescent="0.25">
      <c r="A168" t="s">
        <v>174</v>
      </c>
      <c r="B168" t="s">
        <v>8</v>
      </c>
      <c r="C168" t="s">
        <v>174</v>
      </c>
      <c r="D168" t="s">
        <v>107</v>
      </c>
      <c r="E168" t="s">
        <v>107</v>
      </c>
      <c r="F168" t="s">
        <v>18</v>
      </c>
      <c r="G168" t="s">
        <v>384</v>
      </c>
      <c r="H168" t="str">
        <f>VLOOKUP(E168,منظر!A:B,2,0)</f>
        <v>V004</v>
      </c>
      <c r="I168" t="str">
        <f>VLOOKUP(A168,استراتژی!A:B,2,0)</f>
        <v>S011</v>
      </c>
      <c r="J168" t="str">
        <f>VLOOKUP(D168,دپارتمان!A:B,2,0)</f>
        <v>D005</v>
      </c>
      <c r="K168" t="str">
        <f>VLOOKUP(F168,'واحد سنجش'!A:B,2,0)</f>
        <v>U002</v>
      </c>
    </row>
    <row r="169" spans="1:11" x14ac:dyDescent="0.25">
      <c r="A169" t="s">
        <v>14</v>
      </c>
      <c r="B169" t="s">
        <v>53</v>
      </c>
      <c r="C169" t="s">
        <v>385</v>
      </c>
      <c r="D169" t="s">
        <v>265</v>
      </c>
      <c r="E169" t="s">
        <v>11</v>
      </c>
      <c r="F169" t="s">
        <v>12</v>
      </c>
      <c r="G169" t="s">
        <v>386</v>
      </c>
      <c r="H169" t="str">
        <f>VLOOKUP(E169,منظر!A:B,2,0)</f>
        <v>V001</v>
      </c>
      <c r="I169" t="str">
        <f>VLOOKUP(A169,استراتژی!A:B,2,0)</f>
        <v>S002</v>
      </c>
      <c r="J169" t="str">
        <f>VLOOKUP(D169,دپارتمان!A:B,2,0)</f>
        <v>D009</v>
      </c>
      <c r="K169" t="str">
        <f>VLOOKUP(F169,'واحد سنجش'!A:B,2,0)</f>
        <v>U001</v>
      </c>
    </row>
    <row r="170" spans="1:11" x14ac:dyDescent="0.25">
      <c r="A170" t="s">
        <v>14</v>
      </c>
      <c r="B170" t="s">
        <v>53</v>
      </c>
      <c r="C170" t="s">
        <v>387</v>
      </c>
      <c r="D170" t="s">
        <v>107</v>
      </c>
      <c r="E170" t="s">
        <v>11</v>
      </c>
      <c r="F170" t="s">
        <v>18</v>
      </c>
      <c r="G170" t="s">
        <v>388</v>
      </c>
      <c r="H170" t="str">
        <f>VLOOKUP(E170,منظر!A:B,2,0)</f>
        <v>V001</v>
      </c>
      <c r="I170" t="str">
        <f>VLOOKUP(A170,استراتژی!A:B,2,0)</f>
        <v>S002</v>
      </c>
      <c r="J170" t="str">
        <f>VLOOKUP(D170,دپارتمان!A:B,2,0)</f>
        <v>D005</v>
      </c>
      <c r="K170" t="str">
        <f>VLOOKUP(F170,'واحد سنجش'!A:B,2,0)</f>
        <v>U002</v>
      </c>
    </row>
    <row r="171" spans="1:11" x14ac:dyDescent="0.25">
      <c r="A171" t="s">
        <v>14</v>
      </c>
      <c r="B171" t="s">
        <v>53</v>
      </c>
      <c r="C171" t="s">
        <v>389</v>
      </c>
      <c r="D171" t="s">
        <v>110</v>
      </c>
      <c r="E171" t="s">
        <v>11</v>
      </c>
      <c r="F171" t="s">
        <v>18</v>
      </c>
      <c r="G171" t="s">
        <v>390</v>
      </c>
      <c r="H171" t="str">
        <f>VLOOKUP(E171,منظر!A:B,2,0)</f>
        <v>V001</v>
      </c>
      <c r="I171" t="str">
        <f>VLOOKUP(A171,استراتژی!A:B,2,0)</f>
        <v>S002</v>
      </c>
      <c r="J171" t="str">
        <f>VLOOKUP(D171,دپارتمان!A:B,2,0)</f>
        <v>D006</v>
      </c>
      <c r="K171" t="str">
        <f>VLOOKUP(F171,'واحد سنجش'!A:B,2,0)</f>
        <v>U002</v>
      </c>
    </row>
    <row r="172" spans="1:11" x14ac:dyDescent="0.25">
      <c r="A172" t="s">
        <v>14</v>
      </c>
      <c r="B172" t="s">
        <v>53</v>
      </c>
      <c r="C172" t="s">
        <v>391</v>
      </c>
      <c r="D172" t="s">
        <v>392</v>
      </c>
      <c r="E172" t="s">
        <v>11</v>
      </c>
      <c r="F172" t="s">
        <v>18</v>
      </c>
      <c r="G172" t="s">
        <v>393</v>
      </c>
      <c r="H172" t="str">
        <f>VLOOKUP(E172,منظر!A:B,2,0)</f>
        <v>V001</v>
      </c>
      <c r="I172" t="str">
        <f>VLOOKUP(A172,استراتژی!A:B,2,0)</f>
        <v>S002</v>
      </c>
      <c r="J172" t="str">
        <f>VLOOKUP(D172,دپارتمان!A:B,2,0)</f>
        <v>D014</v>
      </c>
      <c r="K172" t="str">
        <f>VLOOKUP(F172,'واحد سنجش'!A:B,2,0)</f>
        <v>U002</v>
      </c>
    </row>
    <row r="173" spans="1:11" x14ac:dyDescent="0.25">
      <c r="A173" t="s">
        <v>181</v>
      </c>
      <c r="B173" t="s">
        <v>8</v>
      </c>
      <c r="C173" t="s">
        <v>394</v>
      </c>
      <c r="D173" t="s">
        <v>107</v>
      </c>
      <c r="E173" t="s">
        <v>107</v>
      </c>
      <c r="F173" t="s">
        <v>18</v>
      </c>
      <c r="G173" t="s">
        <v>395</v>
      </c>
      <c r="H173" t="str">
        <f>VLOOKUP(E173,منظر!A:B,2,0)</f>
        <v>V004</v>
      </c>
      <c r="I173" t="str">
        <f>VLOOKUP(A173,استراتژی!A:B,2,0)</f>
        <v>S012</v>
      </c>
      <c r="J173" t="str">
        <f>VLOOKUP(D173,دپارتمان!A:B,2,0)</f>
        <v>D005</v>
      </c>
      <c r="K173" t="str">
        <f>VLOOKUP(F173,'واحد سنجش'!A:B,2,0)</f>
        <v>U002</v>
      </c>
    </row>
    <row r="174" spans="1:11" x14ac:dyDescent="0.25">
      <c r="A174" t="s">
        <v>118</v>
      </c>
      <c r="B174" t="s">
        <v>53</v>
      </c>
      <c r="C174" t="s">
        <v>396</v>
      </c>
      <c r="D174" t="s">
        <v>392</v>
      </c>
      <c r="E174" t="s">
        <v>11</v>
      </c>
      <c r="F174" t="s">
        <v>153</v>
      </c>
      <c r="G174" t="s">
        <v>397</v>
      </c>
      <c r="H174" t="str">
        <f>VLOOKUP(E174,منظر!A:B,2,0)</f>
        <v>V001</v>
      </c>
      <c r="I174" t="str">
        <f>VLOOKUP(A174,استراتژی!A:B,2,0)</f>
        <v>S009</v>
      </c>
      <c r="J174" t="str">
        <f>VLOOKUP(D174,دپارتمان!A:B,2,0)</f>
        <v>D014</v>
      </c>
      <c r="K174" t="str">
        <f>VLOOKUP(F174,'واحد سنجش'!A:B,2,0)</f>
        <v>U009</v>
      </c>
    </row>
    <row r="175" spans="1:11" x14ac:dyDescent="0.25">
      <c r="A175" t="s">
        <v>14</v>
      </c>
      <c r="B175" t="s">
        <v>53</v>
      </c>
      <c r="C175" t="s">
        <v>398</v>
      </c>
      <c r="D175" t="s">
        <v>392</v>
      </c>
      <c r="E175" t="s">
        <v>11</v>
      </c>
      <c r="F175" t="s">
        <v>153</v>
      </c>
      <c r="G175" t="s">
        <v>399</v>
      </c>
      <c r="H175" t="str">
        <f>VLOOKUP(E175,منظر!A:B,2,0)</f>
        <v>V001</v>
      </c>
      <c r="I175" t="str">
        <f>VLOOKUP(A175,استراتژی!A:B,2,0)</f>
        <v>S002</v>
      </c>
      <c r="J175" t="str">
        <f>VLOOKUP(D175,دپارتمان!A:B,2,0)</f>
        <v>D014</v>
      </c>
      <c r="K175" t="str">
        <f>VLOOKUP(F175,'واحد سنجش'!A:B,2,0)</f>
        <v>U009</v>
      </c>
    </row>
    <row r="176" spans="1:11" x14ac:dyDescent="0.25">
      <c r="A176" t="s">
        <v>14</v>
      </c>
      <c r="B176" t="s">
        <v>53</v>
      </c>
      <c r="C176" t="s">
        <v>400</v>
      </c>
      <c r="D176" t="s">
        <v>392</v>
      </c>
      <c r="E176" t="s">
        <v>11</v>
      </c>
      <c r="F176" t="s">
        <v>153</v>
      </c>
      <c r="G176" t="s">
        <v>401</v>
      </c>
      <c r="H176" t="str">
        <f>VLOOKUP(E176,منظر!A:B,2,0)</f>
        <v>V001</v>
      </c>
      <c r="I176" t="str">
        <f>VLOOKUP(A176,استراتژی!A:B,2,0)</f>
        <v>S002</v>
      </c>
      <c r="J176" t="str">
        <f>VLOOKUP(D176,دپارتمان!A:B,2,0)</f>
        <v>D014</v>
      </c>
      <c r="K176" t="str">
        <f>VLOOKUP(F176,'واحد سنجش'!A:B,2,0)</f>
        <v>U009</v>
      </c>
    </row>
    <row r="177" spans="1:11" x14ac:dyDescent="0.25">
      <c r="A177" t="s">
        <v>14</v>
      </c>
      <c r="B177" t="s">
        <v>53</v>
      </c>
      <c r="C177" t="s">
        <v>402</v>
      </c>
      <c r="D177" t="s">
        <v>392</v>
      </c>
      <c r="E177" t="s">
        <v>11</v>
      </c>
      <c r="F177" t="s">
        <v>414</v>
      </c>
      <c r="G177" t="s">
        <v>403</v>
      </c>
      <c r="H177" t="str">
        <f>VLOOKUP(E177,منظر!A:B,2,0)</f>
        <v>V001</v>
      </c>
      <c r="I177" t="str">
        <f>VLOOKUP(A177,استراتژی!A:B,2,0)</f>
        <v>S002</v>
      </c>
      <c r="J177" t="str">
        <f>VLOOKUP(D177,دپارتمان!A:B,2,0)</f>
        <v>D014</v>
      </c>
      <c r="K177" t="str">
        <f>VLOOKUP(F177,'واحد سنجش'!A:B,2,0)</f>
        <v>U012</v>
      </c>
    </row>
    <row r="178" spans="1:11" x14ac:dyDescent="0.25">
      <c r="A178" t="s">
        <v>14</v>
      </c>
      <c r="B178" t="s">
        <v>53</v>
      </c>
      <c r="C178" t="s">
        <v>404</v>
      </c>
      <c r="D178" t="s">
        <v>392</v>
      </c>
      <c r="E178" t="s">
        <v>11</v>
      </c>
      <c r="F178" t="s">
        <v>414</v>
      </c>
      <c r="G178" t="s">
        <v>405</v>
      </c>
      <c r="H178" t="str">
        <f>VLOOKUP(E178,منظر!A:B,2,0)</f>
        <v>V001</v>
      </c>
      <c r="I178" t="str">
        <f>VLOOKUP(A178,استراتژی!A:B,2,0)</f>
        <v>S002</v>
      </c>
      <c r="J178" t="str">
        <f>VLOOKUP(D178,دپارتمان!A:B,2,0)</f>
        <v>D014</v>
      </c>
      <c r="K178" t="str">
        <f>VLOOKUP(F178,'واحد سنجش'!A:B,2,0)</f>
        <v>U012</v>
      </c>
    </row>
    <row r="179" spans="1:11" x14ac:dyDescent="0.25">
      <c r="A179" t="s">
        <v>14</v>
      </c>
      <c r="B179" t="s">
        <v>53</v>
      </c>
      <c r="C179" t="s">
        <v>406</v>
      </c>
      <c r="D179" t="s">
        <v>392</v>
      </c>
      <c r="E179" t="s">
        <v>11</v>
      </c>
      <c r="F179" t="s">
        <v>407</v>
      </c>
      <c r="G179" t="s">
        <v>408</v>
      </c>
      <c r="H179" t="str">
        <f>VLOOKUP(E179,منظر!A:B,2,0)</f>
        <v>V001</v>
      </c>
      <c r="I179" t="str">
        <f>VLOOKUP(A179,استراتژی!A:B,2,0)</f>
        <v>S002</v>
      </c>
      <c r="J179" t="str">
        <f>VLOOKUP(D179,دپارتمان!A:B,2,0)</f>
        <v>D014</v>
      </c>
      <c r="K179" t="str">
        <f>VLOOKUP(F179,'واحد سنجش'!A:B,2,0)</f>
        <v>U011</v>
      </c>
    </row>
    <row r="180" spans="1:11" x14ac:dyDescent="0.25">
      <c r="A180" t="s">
        <v>14</v>
      </c>
      <c r="B180" t="s">
        <v>53</v>
      </c>
      <c r="C180" t="s">
        <v>409</v>
      </c>
      <c r="D180" t="s">
        <v>392</v>
      </c>
      <c r="E180" t="s">
        <v>11</v>
      </c>
      <c r="F180" t="s">
        <v>414</v>
      </c>
      <c r="G180" t="s">
        <v>410</v>
      </c>
      <c r="H180" t="str">
        <f>VLOOKUP(E180,منظر!A:B,2,0)</f>
        <v>V001</v>
      </c>
      <c r="I180" t="str">
        <f>VLOOKUP(A180,استراتژی!A:B,2,0)</f>
        <v>S002</v>
      </c>
      <c r="J180" t="str">
        <f>VLOOKUP(D180,دپارتمان!A:B,2,0)</f>
        <v>D014</v>
      </c>
      <c r="K180" t="str">
        <f>VLOOKUP(F180,'واحد سنجش'!A:B,2,0)</f>
        <v>U012</v>
      </c>
    </row>
    <row r="181" spans="1:11" x14ac:dyDescent="0.25">
      <c r="A181" t="s">
        <v>181</v>
      </c>
      <c r="B181" t="s">
        <v>8</v>
      </c>
      <c r="C181" t="s">
        <v>411</v>
      </c>
      <c r="D181" t="s">
        <v>392</v>
      </c>
      <c r="E181" t="s">
        <v>107</v>
      </c>
      <c r="F181" t="s">
        <v>414</v>
      </c>
      <c r="G181" t="s">
        <v>412</v>
      </c>
      <c r="H181" t="str">
        <f>VLOOKUP(E181,منظر!A:B,2,0)</f>
        <v>V004</v>
      </c>
      <c r="I181" t="str">
        <f>VLOOKUP(A181,استراتژی!A:B,2,0)</f>
        <v>S012</v>
      </c>
      <c r="J181" t="str">
        <f>VLOOKUP(D181,دپارتمان!A:B,2,0)</f>
        <v>D014</v>
      </c>
      <c r="K181" t="str">
        <f>VLOOKUP(F181,'واحد سنجش'!A:B,2,0)</f>
        <v>U012</v>
      </c>
    </row>
    <row r="182" spans="1:11" x14ac:dyDescent="0.25">
      <c r="A182" t="s">
        <v>181</v>
      </c>
      <c r="B182" t="s">
        <v>8</v>
      </c>
      <c r="C182" t="s">
        <v>413</v>
      </c>
      <c r="D182" t="s">
        <v>392</v>
      </c>
      <c r="E182" t="s">
        <v>107</v>
      </c>
      <c r="F182" t="s">
        <v>414</v>
      </c>
      <c r="G182" t="s">
        <v>415</v>
      </c>
      <c r="H182" t="str">
        <f>VLOOKUP(E182,منظر!A:B,2,0)</f>
        <v>V004</v>
      </c>
      <c r="I182" t="str">
        <f>VLOOKUP(A182,استراتژی!A:B,2,0)</f>
        <v>S012</v>
      </c>
      <c r="J182" t="str">
        <f>VLOOKUP(D182,دپارتمان!A:B,2,0)</f>
        <v>D014</v>
      </c>
      <c r="K182" t="str">
        <f>VLOOKUP(F182,'واحد سنجش'!A:B,2,0)</f>
        <v>U012</v>
      </c>
    </row>
    <row r="183" spans="1:11" x14ac:dyDescent="0.25">
      <c r="A183" t="s">
        <v>181</v>
      </c>
      <c r="B183" t="s">
        <v>8</v>
      </c>
      <c r="C183" t="s">
        <v>416</v>
      </c>
      <c r="D183" t="s">
        <v>392</v>
      </c>
      <c r="E183" t="s">
        <v>107</v>
      </c>
      <c r="F183" t="s">
        <v>414</v>
      </c>
      <c r="G183" t="s">
        <v>417</v>
      </c>
      <c r="H183" t="str">
        <f>VLOOKUP(E183,منظر!A:B,2,0)</f>
        <v>V004</v>
      </c>
      <c r="I183" t="str">
        <f>VLOOKUP(A183,استراتژی!A:B,2,0)</f>
        <v>S012</v>
      </c>
      <c r="J183" t="str">
        <f>VLOOKUP(D183,دپارتمان!A:B,2,0)</f>
        <v>D014</v>
      </c>
      <c r="K183" t="str">
        <f>VLOOKUP(F183,'واحد سنجش'!A:B,2,0)</f>
        <v>U012</v>
      </c>
    </row>
    <row r="184" spans="1:11" x14ac:dyDescent="0.25">
      <c r="A184" t="s">
        <v>181</v>
      </c>
      <c r="B184" t="s">
        <v>8</v>
      </c>
      <c r="C184" t="s">
        <v>418</v>
      </c>
      <c r="D184" t="s">
        <v>392</v>
      </c>
      <c r="E184" t="s">
        <v>107</v>
      </c>
      <c r="F184" t="s">
        <v>12</v>
      </c>
      <c r="G184" t="s">
        <v>419</v>
      </c>
      <c r="H184" t="str">
        <f>VLOOKUP(E184,منظر!A:B,2,0)</f>
        <v>V004</v>
      </c>
      <c r="I184" t="str">
        <f>VLOOKUP(A184,استراتژی!A:B,2,0)</f>
        <v>S012</v>
      </c>
      <c r="J184" t="str">
        <f>VLOOKUP(D184,دپارتمان!A:B,2,0)</f>
        <v>D014</v>
      </c>
      <c r="K184" t="str">
        <f>VLOOKUP(F184,'واحد سنجش'!A:B,2,0)</f>
        <v>U001</v>
      </c>
    </row>
    <row r="185" spans="1:11" x14ac:dyDescent="0.25">
      <c r="A185" t="s">
        <v>420</v>
      </c>
      <c r="B185" t="s">
        <v>15</v>
      </c>
      <c r="C185" t="s">
        <v>421</v>
      </c>
      <c r="D185" t="s">
        <v>392</v>
      </c>
      <c r="E185" t="s">
        <v>11</v>
      </c>
      <c r="F185" t="s">
        <v>153</v>
      </c>
      <c r="G185" t="s">
        <v>422</v>
      </c>
      <c r="H185" t="str">
        <f>VLOOKUP(E185,منظر!A:B,2,0)</f>
        <v>V001</v>
      </c>
      <c r="I185" t="str">
        <f>VLOOKUP(A185,استراتژی!A:B,2,0)</f>
        <v>S017</v>
      </c>
      <c r="J185" t="str">
        <f>VLOOKUP(D185,دپارتمان!A:B,2,0)</f>
        <v>D014</v>
      </c>
      <c r="K185" t="str">
        <f>VLOOKUP(F185,'واحد سنجش'!A:B,2,0)</f>
        <v>U009</v>
      </c>
    </row>
    <row r="186" spans="1:11" x14ac:dyDescent="0.25">
      <c r="A186" t="s">
        <v>420</v>
      </c>
      <c r="B186" t="s">
        <v>8</v>
      </c>
      <c r="C186" t="s">
        <v>423</v>
      </c>
      <c r="D186" t="s">
        <v>392</v>
      </c>
      <c r="E186" t="s">
        <v>11</v>
      </c>
      <c r="F186" t="s">
        <v>12</v>
      </c>
      <c r="G186" t="s">
        <v>424</v>
      </c>
      <c r="H186" t="str">
        <f>VLOOKUP(E186,منظر!A:B,2,0)</f>
        <v>V001</v>
      </c>
      <c r="I186" t="str">
        <f>VLOOKUP(A186,استراتژی!A:B,2,0)</f>
        <v>S017</v>
      </c>
      <c r="J186" t="str">
        <f>VLOOKUP(D186,دپارتمان!A:B,2,0)</f>
        <v>D014</v>
      </c>
      <c r="K186" t="str">
        <f>VLOOKUP(F186,'واحد سنجش'!A:B,2,0)</f>
        <v>U001</v>
      </c>
    </row>
    <row r="187" spans="1:11" x14ac:dyDescent="0.25">
      <c r="A187" t="s">
        <v>420</v>
      </c>
      <c r="B187" t="s">
        <v>53</v>
      </c>
      <c r="C187" t="s">
        <v>425</v>
      </c>
      <c r="D187" t="s">
        <v>392</v>
      </c>
      <c r="E187" t="s">
        <v>11</v>
      </c>
      <c r="F187" t="s">
        <v>414</v>
      </c>
      <c r="G187" t="s">
        <v>426</v>
      </c>
      <c r="H187" t="str">
        <f>VLOOKUP(E187,منظر!A:B,2,0)</f>
        <v>V001</v>
      </c>
      <c r="I187" t="str">
        <f>VLOOKUP(A187,استراتژی!A:B,2,0)</f>
        <v>S017</v>
      </c>
      <c r="J187" t="str">
        <f>VLOOKUP(D187,دپارتمان!A:B,2,0)</f>
        <v>D014</v>
      </c>
      <c r="K187" t="str">
        <f>VLOOKUP(F187,'واحد سنجش'!A:B,2,0)</f>
        <v>U012</v>
      </c>
    </row>
    <row r="188" spans="1:11" x14ac:dyDescent="0.25">
      <c r="A188" t="s">
        <v>14</v>
      </c>
      <c r="B188" t="s">
        <v>53</v>
      </c>
      <c r="C188" t="s">
        <v>427</v>
      </c>
      <c r="D188" t="s">
        <v>107</v>
      </c>
      <c r="E188" t="s">
        <v>11</v>
      </c>
      <c r="F188" t="s">
        <v>18</v>
      </c>
      <c r="G188" t="s">
        <v>428</v>
      </c>
      <c r="H188" t="str">
        <f>VLOOKUP(E188,منظر!A:B,2,0)</f>
        <v>V001</v>
      </c>
      <c r="I188" t="str">
        <f>VLOOKUP(A188,استراتژی!A:B,2,0)</f>
        <v>S002</v>
      </c>
      <c r="J188" t="str">
        <f>VLOOKUP(D188,دپارتمان!A:B,2,0)</f>
        <v>D005</v>
      </c>
      <c r="K188" t="str">
        <f>VLOOKUP(F188,'واحد سنجش'!A:B,2,0)</f>
        <v>U002</v>
      </c>
    </row>
    <row r="189" spans="1:11" x14ac:dyDescent="0.25">
      <c r="A189" t="s">
        <v>14</v>
      </c>
      <c r="B189" t="s">
        <v>53</v>
      </c>
      <c r="C189" t="s">
        <v>429</v>
      </c>
      <c r="D189" t="s">
        <v>107</v>
      </c>
      <c r="E189" t="s">
        <v>11</v>
      </c>
      <c r="F189" t="s">
        <v>18</v>
      </c>
      <c r="G189" t="s">
        <v>430</v>
      </c>
      <c r="H189" t="str">
        <f>VLOOKUP(E189,منظر!A:B,2,0)</f>
        <v>V001</v>
      </c>
      <c r="I189" t="str">
        <f>VLOOKUP(A189,استراتژی!A:B,2,0)</f>
        <v>S002</v>
      </c>
      <c r="J189" t="str">
        <f>VLOOKUP(D189,دپارتمان!A:B,2,0)</f>
        <v>D005</v>
      </c>
      <c r="K189" t="str">
        <f>VLOOKUP(F189,'واحد سنجش'!A:B,2,0)</f>
        <v>U002</v>
      </c>
    </row>
    <row r="190" spans="1:11" x14ac:dyDescent="0.25">
      <c r="A190" t="s">
        <v>114</v>
      </c>
      <c r="B190" t="s">
        <v>8</v>
      </c>
      <c r="C190" t="s">
        <v>431</v>
      </c>
      <c r="D190" t="s">
        <v>110</v>
      </c>
      <c r="E190" t="s">
        <v>107</v>
      </c>
      <c r="F190" t="s">
        <v>51</v>
      </c>
      <c r="G190" t="s">
        <v>432</v>
      </c>
      <c r="H190" t="str">
        <f>VLOOKUP(E190,منظر!A:B,2,0)</f>
        <v>V004</v>
      </c>
      <c r="I190" t="str">
        <f>VLOOKUP(A190,استراتژی!A:B,2,0)</f>
        <v>S008</v>
      </c>
      <c r="J190" t="str">
        <f>VLOOKUP(D190,دپارتمان!A:B,2,0)</f>
        <v>D006</v>
      </c>
      <c r="K190" t="str">
        <f>VLOOKUP(F190,'واحد سنجش'!A:B,2,0)</f>
        <v>U004</v>
      </c>
    </row>
    <row r="191" spans="1:11" x14ac:dyDescent="0.25">
      <c r="A191" t="s">
        <v>114</v>
      </c>
      <c r="B191" t="s">
        <v>8</v>
      </c>
      <c r="C191" t="s">
        <v>433</v>
      </c>
      <c r="D191" t="s">
        <v>110</v>
      </c>
      <c r="E191" t="s">
        <v>107</v>
      </c>
      <c r="F191" t="s">
        <v>51</v>
      </c>
      <c r="G191" t="s">
        <v>434</v>
      </c>
      <c r="H191" t="str">
        <f>VLOOKUP(E191,منظر!A:B,2,0)</f>
        <v>V004</v>
      </c>
      <c r="I191" t="str">
        <f>VLOOKUP(A191,استراتژی!A:B,2,0)</f>
        <v>S008</v>
      </c>
      <c r="J191" t="str">
        <f>VLOOKUP(D191,دپارتمان!A:B,2,0)</f>
        <v>D006</v>
      </c>
      <c r="K191" t="str">
        <f>VLOOKUP(F191,'واحد سنجش'!A:B,2,0)</f>
        <v>U004</v>
      </c>
    </row>
    <row r="192" spans="1:11" x14ac:dyDescent="0.25">
      <c r="A192" t="s">
        <v>14</v>
      </c>
      <c r="B192" t="s">
        <v>53</v>
      </c>
      <c r="C192" t="s">
        <v>435</v>
      </c>
      <c r="D192" t="s">
        <v>110</v>
      </c>
      <c r="E192" t="s">
        <v>11</v>
      </c>
      <c r="F192" t="s">
        <v>18</v>
      </c>
      <c r="G192" t="s">
        <v>436</v>
      </c>
      <c r="H192" t="str">
        <f>VLOOKUP(E192,منظر!A:B,2,0)</f>
        <v>V001</v>
      </c>
      <c r="I192" t="str">
        <f>VLOOKUP(A192,استراتژی!A:B,2,0)</f>
        <v>S002</v>
      </c>
      <c r="J192" t="str">
        <f>VLOOKUP(D192,دپارتمان!A:B,2,0)</f>
        <v>D006</v>
      </c>
      <c r="K192" t="str">
        <f>VLOOKUP(F192,'واحد سنجش'!A:B,2,0)</f>
        <v>U002</v>
      </c>
    </row>
    <row r="193" spans="1:11" x14ac:dyDescent="0.25">
      <c r="A193" t="s">
        <v>14</v>
      </c>
      <c r="B193" t="s">
        <v>53</v>
      </c>
      <c r="C193" t="s">
        <v>437</v>
      </c>
      <c r="D193" t="s">
        <v>110</v>
      </c>
      <c r="E193" t="s">
        <v>11</v>
      </c>
      <c r="F193" t="s">
        <v>18</v>
      </c>
      <c r="G193" t="s">
        <v>438</v>
      </c>
      <c r="H193" t="str">
        <f>VLOOKUP(E193,منظر!A:B,2,0)</f>
        <v>V001</v>
      </c>
      <c r="I193" t="str">
        <f>VLOOKUP(A193,استراتژی!A:B,2,0)</f>
        <v>S002</v>
      </c>
      <c r="J193" t="str">
        <f>VLOOKUP(D193,دپارتمان!A:B,2,0)</f>
        <v>D006</v>
      </c>
      <c r="K193" t="str">
        <f>VLOOKUP(F193,'واحد سنجش'!A:B,2,0)</f>
        <v>U002</v>
      </c>
    </row>
    <row r="194" spans="1:11" x14ac:dyDescent="0.25">
      <c r="A194" t="s">
        <v>14</v>
      </c>
      <c r="B194" t="s">
        <v>53</v>
      </c>
      <c r="C194" t="s">
        <v>439</v>
      </c>
      <c r="D194" t="s">
        <v>107</v>
      </c>
      <c r="E194" t="s">
        <v>11</v>
      </c>
      <c r="F194" t="s">
        <v>18</v>
      </c>
      <c r="G194" t="s">
        <v>440</v>
      </c>
      <c r="H194" t="str">
        <f>VLOOKUP(E194,منظر!A:B,2,0)</f>
        <v>V001</v>
      </c>
      <c r="I194" t="str">
        <f>VLOOKUP(A194,استراتژی!A:B,2,0)</f>
        <v>S002</v>
      </c>
      <c r="J194" t="str">
        <f>VLOOKUP(D194,دپارتمان!A:B,2,0)</f>
        <v>D005</v>
      </c>
      <c r="K194" t="str">
        <f>VLOOKUP(F194,'واحد سنجش'!A:B,2,0)</f>
        <v>U002</v>
      </c>
    </row>
    <row r="195" spans="1:11" x14ac:dyDescent="0.25">
      <c r="A195" t="s">
        <v>167</v>
      </c>
      <c r="B195" t="s">
        <v>8</v>
      </c>
      <c r="C195" t="s">
        <v>441</v>
      </c>
      <c r="D195" t="s">
        <v>442</v>
      </c>
      <c r="E195" t="s">
        <v>62</v>
      </c>
      <c r="F195" t="s">
        <v>36</v>
      </c>
      <c r="G195" t="s">
        <v>443</v>
      </c>
      <c r="H195" t="str">
        <f>VLOOKUP(E195,منظر!A:B,2,0)</f>
        <v>V003</v>
      </c>
      <c r="I195" t="str">
        <f>VLOOKUP(A195,استراتژی!A:B,2,0)</f>
        <v>S010</v>
      </c>
      <c r="J195" t="str">
        <f>VLOOKUP(D195,دپارتمان!A:B,2,0)</f>
        <v>D015</v>
      </c>
      <c r="K195" t="str">
        <f>VLOOKUP(F195,'واحد سنجش'!A:B,2,0)</f>
        <v>U003</v>
      </c>
    </row>
    <row r="196" spans="1:11" x14ac:dyDescent="0.25">
      <c r="A196" t="s">
        <v>167</v>
      </c>
      <c r="B196" t="s">
        <v>8</v>
      </c>
      <c r="C196" t="s">
        <v>444</v>
      </c>
      <c r="D196" t="s">
        <v>442</v>
      </c>
      <c r="E196" t="s">
        <v>62</v>
      </c>
      <c r="F196" t="s">
        <v>36</v>
      </c>
      <c r="G196" t="s">
        <v>445</v>
      </c>
      <c r="H196" t="str">
        <f>VLOOKUP(E196,منظر!A:B,2,0)</f>
        <v>V003</v>
      </c>
      <c r="I196" t="str">
        <f>VLOOKUP(A196,استراتژی!A:B,2,0)</f>
        <v>S010</v>
      </c>
      <c r="J196" t="str">
        <f>VLOOKUP(D196,دپارتمان!A:B,2,0)</f>
        <v>D015</v>
      </c>
      <c r="K196" t="str">
        <f>VLOOKUP(F196,'واحد سنجش'!A:B,2,0)</f>
        <v>U003</v>
      </c>
    </row>
    <row r="197" spans="1:11" x14ac:dyDescent="0.25">
      <c r="A197" t="s">
        <v>167</v>
      </c>
      <c r="B197" t="s">
        <v>8</v>
      </c>
      <c r="C197" t="s">
        <v>446</v>
      </c>
      <c r="D197" t="s">
        <v>442</v>
      </c>
      <c r="E197" t="s">
        <v>62</v>
      </c>
      <c r="F197" t="s">
        <v>79</v>
      </c>
      <c r="G197" t="s">
        <v>447</v>
      </c>
      <c r="H197" t="str">
        <f>VLOOKUP(E197,منظر!A:B,2,0)</f>
        <v>V003</v>
      </c>
      <c r="I197" t="str">
        <f>VLOOKUP(A197,استراتژی!A:B,2,0)</f>
        <v>S010</v>
      </c>
      <c r="J197" t="str">
        <f>VLOOKUP(D197,دپارتمان!A:B,2,0)</f>
        <v>D015</v>
      </c>
      <c r="K197" t="str">
        <f>VLOOKUP(F197,'واحد سنجش'!A:B,2,0)</f>
        <v>U006</v>
      </c>
    </row>
    <row r="198" spans="1:11" x14ac:dyDescent="0.25">
      <c r="A198" t="s">
        <v>167</v>
      </c>
      <c r="B198" t="s">
        <v>53</v>
      </c>
      <c r="C198" t="s">
        <v>448</v>
      </c>
      <c r="D198" t="s">
        <v>442</v>
      </c>
      <c r="E198" t="s">
        <v>62</v>
      </c>
      <c r="F198" t="s">
        <v>12</v>
      </c>
      <c r="G198" t="s">
        <v>449</v>
      </c>
      <c r="H198" t="str">
        <f>VLOOKUP(E198,منظر!A:B,2,0)</f>
        <v>V003</v>
      </c>
      <c r="I198" t="str">
        <f>VLOOKUP(A198,استراتژی!A:B,2,0)</f>
        <v>S010</v>
      </c>
      <c r="J198" t="str">
        <f>VLOOKUP(D198,دپارتمان!A:B,2,0)</f>
        <v>D015</v>
      </c>
      <c r="K198" t="str">
        <f>VLOOKUP(F198,'واحد سنجش'!A:B,2,0)</f>
        <v>U001</v>
      </c>
    </row>
    <row r="199" spans="1:11" x14ac:dyDescent="0.25">
      <c r="A199" t="s">
        <v>167</v>
      </c>
      <c r="B199" t="s">
        <v>53</v>
      </c>
      <c r="C199" t="s">
        <v>450</v>
      </c>
      <c r="D199" t="s">
        <v>442</v>
      </c>
      <c r="E199" t="s">
        <v>62</v>
      </c>
      <c r="F199" t="s">
        <v>12</v>
      </c>
      <c r="G199" t="s">
        <v>451</v>
      </c>
      <c r="H199" t="str">
        <f>VLOOKUP(E199,منظر!A:B,2,0)</f>
        <v>V003</v>
      </c>
      <c r="I199" t="str">
        <f>VLOOKUP(A199,استراتژی!A:B,2,0)</f>
        <v>S010</v>
      </c>
      <c r="J199" t="str">
        <f>VLOOKUP(D199,دپارتمان!A:B,2,0)</f>
        <v>D015</v>
      </c>
      <c r="K199" t="str">
        <f>VLOOKUP(F199,'واحد سنجش'!A:B,2,0)</f>
        <v>U001</v>
      </c>
    </row>
    <row r="200" spans="1:11" x14ac:dyDescent="0.25">
      <c r="A200" t="s">
        <v>14</v>
      </c>
      <c r="B200" t="s">
        <v>53</v>
      </c>
      <c r="C200" t="s">
        <v>452</v>
      </c>
      <c r="D200" t="s">
        <v>17</v>
      </c>
      <c r="E200" t="s">
        <v>11</v>
      </c>
      <c r="F200" t="s">
        <v>18</v>
      </c>
      <c r="G200" t="s">
        <v>453</v>
      </c>
      <c r="H200" t="str">
        <f>VLOOKUP(E200,منظر!A:B,2,0)</f>
        <v>V001</v>
      </c>
      <c r="I200" t="str">
        <f>VLOOKUP(A200,استراتژی!A:B,2,0)</f>
        <v>S002</v>
      </c>
      <c r="J200" t="str">
        <f>VLOOKUP(D200,دپارتمان!A:B,2,0)</f>
        <v>D002</v>
      </c>
      <c r="K200" t="str">
        <f>VLOOKUP(F200,'واحد سنجش'!A:B,2,0)</f>
        <v>U002</v>
      </c>
    </row>
    <row r="201" spans="1:11" x14ac:dyDescent="0.25">
      <c r="A201" t="s">
        <v>14</v>
      </c>
      <c r="B201" t="s">
        <v>53</v>
      </c>
      <c r="C201" t="s">
        <v>454</v>
      </c>
      <c r="D201" t="s">
        <v>107</v>
      </c>
      <c r="E201" t="s">
        <v>11</v>
      </c>
      <c r="F201" t="s">
        <v>18</v>
      </c>
      <c r="G201" t="s">
        <v>455</v>
      </c>
      <c r="H201" t="str">
        <f>VLOOKUP(E201,منظر!A:B,2,0)</f>
        <v>V001</v>
      </c>
      <c r="I201" t="str">
        <f>VLOOKUP(A201,استراتژی!A:B,2,0)</f>
        <v>S002</v>
      </c>
      <c r="J201" t="str">
        <f>VLOOKUP(D201,دپارتمان!A:B,2,0)</f>
        <v>D005</v>
      </c>
      <c r="K201" t="str">
        <f>VLOOKUP(F201,'واحد سنجش'!A:B,2,0)</f>
        <v>U002</v>
      </c>
    </row>
    <row r="202" spans="1:11" x14ac:dyDescent="0.25">
      <c r="A202" t="s">
        <v>14</v>
      </c>
      <c r="B202" t="s">
        <v>53</v>
      </c>
      <c r="C202" t="s">
        <v>456</v>
      </c>
      <c r="D202" t="s">
        <v>107</v>
      </c>
      <c r="E202" t="s">
        <v>11</v>
      </c>
      <c r="F202" t="s">
        <v>18</v>
      </c>
      <c r="G202" t="s">
        <v>457</v>
      </c>
      <c r="H202" t="str">
        <f>VLOOKUP(E202,منظر!A:B,2,0)</f>
        <v>V001</v>
      </c>
      <c r="I202" t="str">
        <f>VLOOKUP(A202,استراتژی!A:B,2,0)</f>
        <v>S002</v>
      </c>
      <c r="J202" t="str">
        <f>VLOOKUP(D202,دپارتمان!A:B,2,0)</f>
        <v>D005</v>
      </c>
      <c r="K202" t="str">
        <f>VLOOKUP(F202,'واحد سنجش'!A:B,2,0)</f>
        <v>U002</v>
      </c>
    </row>
    <row r="203" spans="1:11" x14ac:dyDescent="0.25">
      <c r="A203" t="s">
        <v>14</v>
      </c>
      <c r="B203" t="s">
        <v>15</v>
      </c>
      <c r="C203" t="s">
        <v>458</v>
      </c>
      <c r="D203" t="s">
        <v>122</v>
      </c>
      <c r="E203" t="s">
        <v>11</v>
      </c>
      <c r="F203" t="s">
        <v>336</v>
      </c>
      <c r="G203" t="s">
        <v>459</v>
      </c>
      <c r="H203" t="str">
        <f>VLOOKUP(E203,منظر!A:B,2,0)</f>
        <v>V001</v>
      </c>
      <c r="I203" t="str">
        <f>VLOOKUP(A203,استراتژی!A:B,2,0)</f>
        <v>S002</v>
      </c>
      <c r="J203" t="str">
        <f>VLOOKUP(D203,دپارتمان!A:B,2,0)</f>
        <v>D007</v>
      </c>
      <c r="K203" t="str">
        <f>VLOOKUP(F203,'واحد سنجش'!A:B,2,0)</f>
        <v>U010</v>
      </c>
    </row>
    <row r="204" spans="1:11" x14ac:dyDescent="0.25">
      <c r="A204" t="s">
        <v>184</v>
      </c>
      <c r="B204" t="s">
        <v>8</v>
      </c>
      <c r="C204" t="s">
        <v>460</v>
      </c>
      <c r="D204" t="s">
        <v>122</v>
      </c>
      <c r="E204" t="s">
        <v>62</v>
      </c>
      <c r="F204" t="s">
        <v>12</v>
      </c>
      <c r="G204" t="s">
        <v>461</v>
      </c>
      <c r="H204" t="str">
        <f>VLOOKUP(E204,منظر!A:B,2,0)</f>
        <v>V003</v>
      </c>
      <c r="I204" t="str">
        <f>VLOOKUP(A204,استراتژی!A:B,2,0)</f>
        <v>S013</v>
      </c>
      <c r="J204" t="str">
        <f>VLOOKUP(D204,دپارتمان!A:B,2,0)</f>
        <v>D007</v>
      </c>
      <c r="K204" t="str">
        <f>VLOOKUP(F204,'واحد سنجش'!A:B,2,0)</f>
        <v>U001</v>
      </c>
    </row>
    <row r="205" spans="1:11" x14ac:dyDescent="0.25">
      <c r="A205" t="s">
        <v>105</v>
      </c>
      <c r="B205" t="s">
        <v>8</v>
      </c>
      <c r="C205" t="s">
        <v>462</v>
      </c>
      <c r="D205" t="s">
        <v>122</v>
      </c>
      <c r="E205" t="s">
        <v>107</v>
      </c>
      <c r="F205" t="s">
        <v>79</v>
      </c>
      <c r="G205" t="s">
        <v>463</v>
      </c>
      <c r="H205" t="str">
        <f>VLOOKUP(E205,منظر!A:B,2,0)</f>
        <v>V004</v>
      </c>
      <c r="I205" t="str">
        <f>VLOOKUP(A205,استراتژی!A:B,2,0)</f>
        <v>S007</v>
      </c>
      <c r="J205" t="str">
        <f>VLOOKUP(D205,دپارتمان!A:B,2,0)</f>
        <v>D007</v>
      </c>
      <c r="K205" t="str">
        <f>VLOOKUP(F205,'واحد سنجش'!A:B,2,0)</f>
        <v>U006</v>
      </c>
    </row>
    <row r="206" spans="1:11" x14ac:dyDescent="0.25">
      <c r="A206" t="s">
        <v>261</v>
      </c>
      <c r="B206" t="s">
        <v>8</v>
      </c>
      <c r="C206" t="s">
        <v>464</v>
      </c>
      <c r="D206" t="s">
        <v>122</v>
      </c>
      <c r="E206" t="s">
        <v>62</v>
      </c>
      <c r="F206" t="s">
        <v>12</v>
      </c>
      <c r="G206" t="s">
        <v>465</v>
      </c>
      <c r="H206" t="str">
        <f>VLOOKUP(E206,منظر!A:B,2,0)</f>
        <v>V003</v>
      </c>
      <c r="I206" t="str">
        <f>VLOOKUP(A206,استراتژی!A:B,2,0)</f>
        <v>S016</v>
      </c>
      <c r="J206" t="str">
        <f>VLOOKUP(D206,دپارتمان!A:B,2,0)</f>
        <v>D007</v>
      </c>
      <c r="K206" t="str">
        <f>VLOOKUP(F206,'واحد سنجش'!A:B,2,0)</f>
        <v>U001</v>
      </c>
    </row>
    <row r="207" spans="1:11" x14ac:dyDescent="0.25">
      <c r="A207" t="s">
        <v>184</v>
      </c>
      <c r="B207" t="s">
        <v>8</v>
      </c>
      <c r="C207" t="s">
        <v>466</v>
      </c>
      <c r="D207" t="s">
        <v>122</v>
      </c>
      <c r="E207" t="s">
        <v>62</v>
      </c>
      <c r="F207" t="s">
        <v>12</v>
      </c>
      <c r="G207" t="s">
        <v>467</v>
      </c>
      <c r="H207" t="str">
        <f>VLOOKUP(E207,منظر!A:B,2,0)</f>
        <v>V003</v>
      </c>
      <c r="I207" t="str">
        <f>VLOOKUP(A207,استراتژی!A:B,2,0)</f>
        <v>S013</v>
      </c>
      <c r="J207" t="str">
        <f>VLOOKUP(D207,دپارتمان!A:B,2,0)</f>
        <v>D007</v>
      </c>
      <c r="K207" t="str">
        <f>VLOOKUP(F207,'واحد سنجش'!A:B,2,0)</f>
        <v>U001</v>
      </c>
    </row>
    <row r="208" spans="1:11" x14ac:dyDescent="0.25">
      <c r="A208" t="s">
        <v>118</v>
      </c>
      <c r="B208" t="s">
        <v>53</v>
      </c>
      <c r="C208" t="s">
        <v>468</v>
      </c>
      <c r="D208" t="s">
        <v>122</v>
      </c>
      <c r="E208" t="s">
        <v>11</v>
      </c>
      <c r="F208" t="s">
        <v>116</v>
      </c>
      <c r="G208" t="s">
        <v>469</v>
      </c>
      <c r="H208" t="str">
        <f>VLOOKUP(E208,منظر!A:B,2,0)</f>
        <v>V001</v>
      </c>
      <c r="I208" t="str">
        <f>VLOOKUP(A208,استراتژی!A:B,2,0)</f>
        <v>S009</v>
      </c>
      <c r="J208" t="str">
        <f>VLOOKUP(D208,دپارتمان!A:B,2,0)</f>
        <v>D007</v>
      </c>
      <c r="K208" t="str">
        <f>VLOOKUP(F208,'واحد سنجش'!A:B,2,0)</f>
        <v>U007</v>
      </c>
    </row>
    <row r="209" spans="1:11" x14ac:dyDescent="0.25">
      <c r="A209" t="s">
        <v>114</v>
      </c>
      <c r="B209" t="s">
        <v>8</v>
      </c>
      <c r="C209" t="s">
        <v>470</v>
      </c>
      <c r="D209" t="s">
        <v>265</v>
      </c>
      <c r="E209" t="s">
        <v>107</v>
      </c>
      <c r="F209" t="s">
        <v>55</v>
      </c>
      <c r="G209" t="s">
        <v>471</v>
      </c>
      <c r="H209" t="str">
        <f>VLOOKUP(E209,منظر!A:B,2,0)</f>
        <v>V004</v>
      </c>
      <c r="I209" t="str">
        <f>VLOOKUP(A209,استراتژی!A:B,2,0)</f>
        <v>S008</v>
      </c>
      <c r="J209" t="str">
        <f>VLOOKUP(D209,دپارتمان!A:B,2,0)</f>
        <v>D009</v>
      </c>
      <c r="K209" t="str">
        <f>VLOOKUP(F209,'واحد سنجش'!A:B,2,0)</f>
        <v>U005</v>
      </c>
    </row>
    <row r="210" spans="1:11" x14ac:dyDescent="0.25">
      <c r="A210" t="s">
        <v>184</v>
      </c>
      <c r="B210" t="s">
        <v>8</v>
      </c>
      <c r="C210" t="s">
        <v>472</v>
      </c>
      <c r="D210" t="s">
        <v>122</v>
      </c>
      <c r="E210" t="s">
        <v>62</v>
      </c>
      <c r="F210" t="s">
        <v>79</v>
      </c>
      <c r="G210" t="s">
        <v>473</v>
      </c>
      <c r="H210" t="str">
        <f>VLOOKUP(E210,منظر!A:B,2,0)</f>
        <v>V003</v>
      </c>
      <c r="I210" t="str">
        <f>VLOOKUP(A210,استراتژی!A:B,2,0)</f>
        <v>S013</v>
      </c>
      <c r="J210" t="str">
        <f>VLOOKUP(D210,دپارتمان!A:B,2,0)</f>
        <v>D007</v>
      </c>
      <c r="K210" t="str">
        <f>VLOOKUP(F210,'واحد سنجش'!A:B,2,0)</f>
        <v>U006</v>
      </c>
    </row>
    <row r="211" spans="1:11" x14ac:dyDescent="0.25">
      <c r="A211" t="s">
        <v>59</v>
      </c>
      <c r="B211" t="s">
        <v>15</v>
      </c>
      <c r="C211" t="s">
        <v>474</v>
      </c>
      <c r="D211" t="s">
        <v>475</v>
      </c>
      <c r="E211" t="s">
        <v>62</v>
      </c>
      <c r="F211" t="s">
        <v>36</v>
      </c>
      <c r="G211" t="s">
        <v>476</v>
      </c>
      <c r="H211" t="str">
        <f>VLOOKUP(E211,منظر!A:B,2,0)</f>
        <v>V003</v>
      </c>
      <c r="I211" t="str">
        <f>VLOOKUP(A211,استراتژی!A:B,2,0)</f>
        <v>S006</v>
      </c>
      <c r="J211" t="str">
        <f>VLOOKUP(D211,دپارتمان!A:B,2,0)</f>
        <v>D016</v>
      </c>
      <c r="K211" t="str">
        <f>VLOOKUP(F211,'واحد سنجش'!A:B,2,0)</f>
        <v>U003</v>
      </c>
    </row>
    <row r="212" spans="1:11" x14ac:dyDescent="0.25">
      <c r="A212" t="s">
        <v>59</v>
      </c>
      <c r="B212" t="s">
        <v>8</v>
      </c>
      <c r="C212" t="s">
        <v>477</v>
      </c>
      <c r="D212" t="s">
        <v>475</v>
      </c>
      <c r="E212" t="s">
        <v>62</v>
      </c>
      <c r="F212" t="s">
        <v>36</v>
      </c>
      <c r="G212" t="s">
        <v>478</v>
      </c>
      <c r="H212" t="str">
        <f>VLOOKUP(E212,منظر!A:B,2,0)</f>
        <v>V003</v>
      </c>
      <c r="I212" t="str">
        <f>VLOOKUP(A212,استراتژی!A:B,2,0)</f>
        <v>S006</v>
      </c>
      <c r="J212" t="str">
        <f>VLOOKUP(D212,دپارتمان!A:B,2,0)</f>
        <v>D016</v>
      </c>
      <c r="K212" t="str">
        <f>VLOOKUP(F212,'واحد سنجش'!A:B,2,0)</f>
        <v>U003</v>
      </c>
    </row>
    <row r="213" spans="1:11" x14ac:dyDescent="0.25">
      <c r="A213" t="s">
        <v>59</v>
      </c>
      <c r="B213" t="s">
        <v>8</v>
      </c>
      <c r="C213" t="s">
        <v>479</v>
      </c>
      <c r="D213" t="s">
        <v>475</v>
      </c>
      <c r="E213" t="s">
        <v>62</v>
      </c>
      <c r="F213" t="s">
        <v>36</v>
      </c>
      <c r="G213" t="s">
        <v>480</v>
      </c>
      <c r="H213" t="str">
        <f>VLOOKUP(E213,منظر!A:B,2,0)</f>
        <v>V003</v>
      </c>
      <c r="I213" t="str">
        <f>VLOOKUP(A213,استراتژی!A:B,2,0)</f>
        <v>S006</v>
      </c>
      <c r="J213" t="str">
        <f>VLOOKUP(D213,دپارتمان!A:B,2,0)</f>
        <v>D016</v>
      </c>
      <c r="K213" t="str">
        <f>VLOOKUP(F213,'واحد سنجش'!A:B,2,0)</f>
        <v>U003</v>
      </c>
    </row>
    <row r="214" spans="1:11" x14ac:dyDescent="0.25">
      <c r="A214" t="s">
        <v>59</v>
      </c>
      <c r="B214" t="s">
        <v>8</v>
      </c>
      <c r="C214" t="s">
        <v>481</v>
      </c>
      <c r="D214" t="s">
        <v>475</v>
      </c>
      <c r="E214" t="s">
        <v>62</v>
      </c>
      <c r="F214" t="s">
        <v>36</v>
      </c>
      <c r="G214" t="s">
        <v>482</v>
      </c>
      <c r="H214" t="str">
        <f>VLOOKUP(E214,منظر!A:B,2,0)</f>
        <v>V003</v>
      </c>
      <c r="I214" t="str">
        <f>VLOOKUP(A214,استراتژی!A:B,2,0)</f>
        <v>S006</v>
      </c>
      <c r="J214" t="str">
        <f>VLOOKUP(D214,دپارتمان!A:B,2,0)</f>
        <v>D016</v>
      </c>
      <c r="K214" t="str">
        <f>VLOOKUP(F214,'واحد سنجش'!A:B,2,0)</f>
        <v>U003</v>
      </c>
    </row>
    <row r="215" spans="1:11" x14ac:dyDescent="0.25">
      <c r="A215" t="s">
        <v>59</v>
      </c>
      <c r="B215" t="s">
        <v>8</v>
      </c>
      <c r="C215" t="s">
        <v>483</v>
      </c>
      <c r="D215" t="s">
        <v>475</v>
      </c>
      <c r="E215" t="s">
        <v>62</v>
      </c>
      <c r="F215" t="s">
        <v>36</v>
      </c>
      <c r="G215" t="s">
        <v>484</v>
      </c>
      <c r="H215" t="str">
        <f>VLOOKUP(E215,منظر!A:B,2,0)</f>
        <v>V003</v>
      </c>
      <c r="I215" t="str">
        <f>VLOOKUP(A215,استراتژی!A:B,2,0)</f>
        <v>S006</v>
      </c>
      <c r="J215" t="str">
        <f>VLOOKUP(D215,دپارتمان!A:B,2,0)</f>
        <v>D016</v>
      </c>
      <c r="K215" t="str">
        <f>VLOOKUP(F215,'واحد سنجش'!A:B,2,0)</f>
        <v>U003</v>
      </c>
    </row>
    <row r="216" spans="1:11" x14ac:dyDescent="0.25">
      <c r="A216" t="s">
        <v>59</v>
      </c>
      <c r="B216" t="s">
        <v>8</v>
      </c>
      <c r="C216" t="s">
        <v>485</v>
      </c>
      <c r="D216" t="s">
        <v>475</v>
      </c>
      <c r="E216" t="s">
        <v>62</v>
      </c>
      <c r="F216" t="s">
        <v>12</v>
      </c>
      <c r="G216" t="s">
        <v>486</v>
      </c>
      <c r="H216" t="str">
        <f>VLOOKUP(E216,منظر!A:B,2,0)</f>
        <v>V003</v>
      </c>
      <c r="I216" t="str">
        <f>VLOOKUP(A216,استراتژی!A:B,2,0)</f>
        <v>S006</v>
      </c>
      <c r="J216" t="str">
        <f>VLOOKUP(D216,دپارتمان!A:B,2,0)</f>
        <v>D016</v>
      </c>
      <c r="K216" t="str">
        <f>VLOOKUP(F216,'واحد سنجش'!A:B,2,0)</f>
        <v>U001</v>
      </c>
    </row>
    <row r="217" spans="1:11" x14ac:dyDescent="0.25">
      <c r="A217" t="s">
        <v>59</v>
      </c>
      <c r="B217" t="s">
        <v>8</v>
      </c>
      <c r="C217" t="s">
        <v>487</v>
      </c>
      <c r="D217" t="s">
        <v>475</v>
      </c>
      <c r="E217" t="s">
        <v>62</v>
      </c>
      <c r="F217" t="s">
        <v>12</v>
      </c>
      <c r="G217" t="s">
        <v>488</v>
      </c>
      <c r="H217" t="str">
        <f>VLOOKUP(E217,منظر!A:B,2,0)</f>
        <v>V003</v>
      </c>
      <c r="I217" t="str">
        <f>VLOOKUP(A217,استراتژی!A:B,2,0)</f>
        <v>S006</v>
      </c>
      <c r="J217" t="str">
        <f>VLOOKUP(D217,دپارتمان!A:B,2,0)</f>
        <v>D016</v>
      </c>
      <c r="K217" t="str">
        <f>VLOOKUP(F217,'واحد سنجش'!A:B,2,0)</f>
        <v>U001</v>
      </c>
    </row>
    <row r="218" spans="1:11" x14ac:dyDescent="0.25">
      <c r="A218" t="s">
        <v>59</v>
      </c>
      <c r="B218" t="s">
        <v>8</v>
      </c>
      <c r="C218" t="s">
        <v>489</v>
      </c>
      <c r="D218" t="s">
        <v>475</v>
      </c>
      <c r="E218" t="s">
        <v>62</v>
      </c>
      <c r="F218" t="s">
        <v>79</v>
      </c>
      <c r="G218" t="s">
        <v>490</v>
      </c>
      <c r="H218" t="str">
        <f>VLOOKUP(E218,منظر!A:B,2,0)</f>
        <v>V003</v>
      </c>
      <c r="I218" t="str">
        <f>VLOOKUP(A218,استراتژی!A:B,2,0)</f>
        <v>S006</v>
      </c>
      <c r="J218" t="str">
        <f>VLOOKUP(D218,دپارتمان!A:B,2,0)</f>
        <v>D016</v>
      </c>
      <c r="K218" t="str">
        <f>VLOOKUP(F218,'واحد سنجش'!A:B,2,0)</f>
        <v>U006</v>
      </c>
    </row>
    <row r="219" spans="1:11" x14ac:dyDescent="0.25">
      <c r="A219" t="s">
        <v>59</v>
      </c>
      <c r="B219" t="s">
        <v>8</v>
      </c>
      <c r="C219" t="s">
        <v>491</v>
      </c>
      <c r="D219" t="s">
        <v>475</v>
      </c>
      <c r="E219" t="s">
        <v>62</v>
      </c>
      <c r="F219" t="s">
        <v>153</v>
      </c>
      <c r="G219" t="s">
        <v>492</v>
      </c>
      <c r="H219" t="str">
        <f>VLOOKUP(E219,منظر!A:B,2,0)</f>
        <v>V003</v>
      </c>
      <c r="I219" t="str">
        <f>VLOOKUP(A219,استراتژی!A:B,2,0)</f>
        <v>S006</v>
      </c>
      <c r="J219" t="str">
        <f>VLOOKUP(D219,دپارتمان!A:B,2,0)</f>
        <v>D016</v>
      </c>
      <c r="K219" t="str">
        <f>VLOOKUP(F219,'واحد سنجش'!A:B,2,0)</f>
        <v>U009</v>
      </c>
    </row>
    <row r="220" spans="1:11" x14ac:dyDescent="0.25">
      <c r="A220" t="s">
        <v>59</v>
      </c>
      <c r="B220" t="s">
        <v>53</v>
      </c>
      <c r="C220" t="s">
        <v>493</v>
      </c>
      <c r="D220" t="s">
        <v>475</v>
      </c>
      <c r="E220" t="s">
        <v>62</v>
      </c>
      <c r="F220" t="s">
        <v>79</v>
      </c>
      <c r="G220" t="s">
        <v>494</v>
      </c>
      <c r="H220" t="str">
        <f>VLOOKUP(E220,منظر!A:B,2,0)</f>
        <v>V003</v>
      </c>
      <c r="I220" t="str">
        <f>VLOOKUP(A220,استراتژی!A:B,2,0)</f>
        <v>S006</v>
      </c>
      <c r="J220" t="str">
        <f>VLOOKUP(D220,دپارتمان!A:B,2,0)</f>
        <v>D016</v>
      </c>
      <c r="K220" t="str">
        <f>VLOOKUP(F220,'واحد سنجش'!A:B,2,0)</f>
        <v>U006</v>
      </c>
    </row>
    <row r="221" spans="1:11" x14ac:dyDescent="0.25">
      <c r="A221" t="s">
        <v>59</v>
      </c>
      <c r="B221" t="s">
        <v>53</v>
      </c>
      <c r="C221" t="s">
        <v>495</v>
      </c>
      <c r="D221" t="s">
        <v>475</v>
      </c>
      <c r="E221" t="s">
        <v>62</v>
      </c>
      <c r="F221" t="s">
        <v>153</v>
      </c>
      <c r="G221" t="s">
        <v>496</v>
      </c>
      <c r="H221" t="str">
        <f>VLOOKUP(E221,منظر!A:B,2,0)</f>
        <v>V003</v>
      </c>
      <c r="I221" t="str">
        <f>VLOOKUP(A221,استراتژی!A:B,2,0)</f>
        <v>S006</v>
      </c>
      <c r="J221" t="str">
        <f>VLOOKUP(D221,دپارتمان!A:B,2,0)</f>
        <v>D016</v>
      </c>
      <c r="K221" t="str">
        <f>VLOOKUP(F221,'واحد سنجش'!A:B,2,0)</f>
        <v>U009</v>
      </c>
    </row>
    <row r="222" spans="1:11" x14ac:dyDescent="0.25">
      <c r="A222" t="s">
        <v>14</v>
      </c>
      <c r="B222" t="s">
        <v>53</v>
      </c>
      <c r="C222" t="s">
        <v>497</v>
      </c>
      <c r="D222" t="s">
        <v>475</v>
      </c>
      <c r="E222" t="s">
        <v>11</v>
      </c>
      <c r="F222" t="s">
        <v>55</v>
      </c>
      <c r="G222" t="s">
        <v>498</v>
      </c>
      <c r="H222" t="str">
        <f>VLOOKUP(E222,منظر!A:B,2,0)</f>
        <v>V001</v>
      </c>
      <c r="I222" t="str">
        <f>VLOOKUP(A222,استراتژی!A:B,2,0)</f>
        <v>S002</v>
      </c>
      <c r="J222" t="str">
        <f>VLOOKUP(D222,دپارتمان!A:B,2,0)</f>
        <v>D016</v>
      </c>
      <c r="K222" t="str">
        <f>VLOOKUP(F222,'واحد سنجش'!A:B,2,0)</f>
        <v>U005</v>
      </c>
    </row>
    <row r="223" spans="1:11" x14ac:dyDescent="0.25">
      <c r="A223" t="s">
        <v>167</v>
      </c>
      <c r="B223" t="s">
        <v>8</v>
      </c>
      <c r="C223" t="s">
        <v>499</v>
      </c>
      <c r="D223" t="s">
        <v>475</v>
      </c>
      <c r="E223" t="s">
        <v>62</v>
      </c>
      <c r="F223" t="s">
        <v>79</v>
      </c>
      <c r="G223" t="s">
        <v>500</v>
      </c>
      <c r="H223" t="str">
        <f>VLOOKUP(E223,منظر!A:B,2,0)</f>
        <v>V003</v>
      </c>
      <c r="I223" t="str">
        <f>VLOOKUP(A223,استراتژی!A:B,2,0)</f>
        <v>S010</v>
      </c>
      <c r="J223" t="str">
        <f>VLOOKUP(D223,دپارتمان!A:B,2,0)</f>
        <v>D016</v>
      </c>
      <c r="K223" t="str">
        <f>VLOOKUP(F223,'واحد سنجش'!A:B,2,0)</f>
        <v>U006</v>
      </c>
    </row>
    <row r="224" spans="1:11" x14ac:dyDescent="0.25">
      <c r="A224" t="s">
        <v>167</v>
      </c>
      <c r="B224" t="s">
        <v>8</v>
      </c>
      <c r="C224" t="s">
        <v>167</v>
      </c>
      <c r="D224" t="s">
        <v>475</v>
      </c>
      <c r="E224" t="s">
        <v>62</v>
      </c>
      <c r="F224" t="s">
        <v>501</v>
      </c>
      <c r="G224" t="s">
        <v>502</v>
      </c>
      <c r="H224" t="str">
        <f>VLOOKUP(E224,منظر!A:B,2,0)</f>
        <v>V003</v>
      </c>
      <c r="I224" t="str">
        <f>VLOOKUP(A224,استراتژی!A:B,2,0)</f>
        <v>S010</v>
      </c>
      <c r="J224" t="str">
        <f>VLOOKUP(D224,دپارتمان!A:B,2,0)</f>
        <v>D016</v>
      </c>
      <c r="K224" t="str">
        <f>VLOOKUP(F224,'واحد سنجش'!A:B,2,0)</f>
        <v>U013</v>
      </c>
    </row>
    <row r="225" spans="1:11" x14ac:dyDescent="0.25">
      <c r="A225" t="s">
        <v>167</v>
      </c>
      <c r="B225" t="s">
        <v>8</v>
      </c>
      <c r="C225" t="s">
        <v>503</v>
      </c>
      <c r="D225" t="s">
        <v>475</v>
      </c>
      <c r="E225" t="s">
        <v>62</v>
      </c>
      <c r="F225" t="s">
        <v>501</v>
      </c>
      <c r="G225" t="s">
        <v>504</v>
      </c>
      <c r="H225" t="str">
        <f>VLOOKUP(E225,منظر!A:B,2,0)</f>
        <v>V003</v>
      </c>
      <c r="I225" t="str">
        <f>VLOOKUP(A225,استراتژی!A:B,2,0)</f>
        <v>S010</v>
      </c>
      <c r="J225" t="str">
        <f>VLOOKUP(D225,دپارتمان!A:B,2,0)</f>
        <v>D016</v>
      </c>
      <c r="K225" t="str">
        <f>VLOOKUP(F225,'واحد سنجش'!A:B,2,0)</f>
        <v>U013</v>
      </c>
    </row>
    <row r="226" spans="1:11" x14ac:dyDescent="0.25">
      <c r="A226" t="s">
        <v>184</v>
      </c>
      <c r="B226" t="s">
        <v>53</v>
      </c>
      <c r="C226" t="s">
        <v>505</v>
      </c>
      <c r="D226" t="s">
        <v>122</v>
      </c>
      <c r="E226" t="s">
        <v>62</v>
      </c>
      <c r="F226" t="s">
        <v>12</v>
      </c>
      <c r="G226" t="s">
        <v>506</v>
      </c>
      <c r="H226" t="str">
        <f>VLOOKUP(E226,منظر!A:B,2,0)</f>
        <v>V003</v>
      </c>
      <c r="I226" t="str">
        <f>VLOOKUP(A226,استراتژی!A:B,2,0)</f>
        <v>S013</v>
      </c>
      <c r="J226" t="str">
        <f>VLOOKUP(D226,دپارتمان!A:B,2,0)</f>
        <v>D007</v>
      </c>
      <c r="K226" t="str">
        <f>VLOOKUP(F226,'واحد سنجش'!A:B,2,0)</f>
        <v>U001</v>
      </c>
    </row>
    <row r="227" spans="1:11" x14ac:dyDescent="0.25">
      <c r="A227" t="s">
        <v>14</v>
      </c>
      <c r="B227" t="s">
        <v>53</v>
      </c>
      <c r="C227" t="s">
        <v>507</v>
      </c>
      <c r="D227" t="s">
        <v>122</v>
      </c>
      <c r="E227" t="s">
        <v>11</v>
      </c>
      <c r="F227" t="s">
        <v>12</v>
      </c>
      <c r="G227" t="s">
        <v>508</v>
      </c>
      <c r="H227" t="str">
        <f>VLOOKUP(E227,منظر!A:B,2,0)</f>
        <v>V001</v>
      </c>
      <c r="I227" t="str">
        <f>VLOOKUP(A227,استراتژی!A:B,2,0)</f>
        <v>S002</v>
      </c>
      <c r="J227" t="str">
        <f>VLOOKUP(D227,دپارتمان!A:B,2,0)</f>
        <v>D007</v>
      </c>
      <c r="K227" t="str">
        <f>VLOOKUP(F227,'واحد سنجش'!A:B,2,0)</f>
        <v>U001</v>
      </c>
    </row>
    <row r="228" spans="1:11" x14ac:dyDescent="0.25">
      <c r="A228" t="s">
        <v>14</v>
      </c>
      <c r="B228" t="s">
        <v>53</v>
      </c>
      <c r="C228" t="s">
        <v>509</v>
      </c>
      <c r="D228" t="s">
        <v>122</v>
      </c>
      <c r="E228" t="s">
        <v>11</v>
      </c>
      <c r="F228" t="s">
        <v>55</v>
      </c>
      <c r="G228" t="s">
        <v>510</v>
      </c>
      <c r="H228" t="str">
        <f>VLOOKUP(E228,منظر!A:B,2,0)</f>
        <v>V001</v>
      </c>
      <c r="I228" t="str">
        <f>VLOOKUP(A228,استراتژی!A:B,2,0)</f>
        <v>S002</v>
      </c>
      <c r="J228" t="str">
        <f>VLOOKUP(D228,دپارتمان!A:B,2,0)</f>
        <v>D007</v>
      </c>
      <c r="K228" t="str">
        <f>VLOOKUP(F228,'واحد سنجش'!A:B,2,0)</f>
        <v>U005</v>
      </c>
    </row>
    <row r="229" spans="1:11" x14ac:dyDescent="0.25">
      <c r="A229" t="s">
        <v>14</v>
      </c>
      <c r="B229" t="s">
        <v>53</v>
      </c>
      <c r="C229" t="s">
        <v>511</v>
      </c>
      <c r="D229" t="s">
        <v>122</v>
      </c>
      <c r="E229" t="s">
        <v>11</v>
      </c>
      <c r="F229" t="s">
        <v>12</v>
      </c>
      <c r="G229" t="s">
        <v>512</v>
      </c>
      <c r="H229" t="str">
        <f>VLOOKUP(E229,منظر!A:B,2,0)</f>
        <v>V001</v>
      </c>
      <c r="I229" t="str">
        <f>VLOOKUP(A229,استراتژی!A:B,2,0)</f>
        <v>S002</v>
      </c>
      <c r="J229" t="str">
        <f>VLOOKUP(D229,دپارتمان!A:B,2,0)</f>
        <v>D007</v>
      </c>
      <c r="K229" t="str">
        <f>VLOOKUP(F229,'واحد سنجش'!A:B,2,0)</f>
        <v>U001</v>
      </c>
    </row>
    <row r="230" spans="1:11" x14ac:dyDescent="0.25">
      <c r="A230" t="s">
        <v>14</v>
      </c>
      <c r="B230" t="s">
        <v>53</v>
      </c>
      <c r="C230" t="s">
        <v>513</v>
      </c>
      <c r="D230" t="s">
        <v>122</v>
      </c>
      <c r="E230" t="s">
        <v>11</v>
      </c>
      <c r="F230" t="s">
        <v>116</v>
      </c>
      <c r="G230" t="s">
        <v>514</v>
      </c>
      <c r="H230" t="str">
        <f>VLOOKUP(E230,منظر!A:B,2,0)</f>
        <v>V001</v>
      </c>
      <c r="I230" t="str">
        <f>VLOOKUP(A230,استراتژی!A:B,2,0)</f>
        <v>S002</v>
      </c>
      <c r="J230" t="str">
        <f>VLOOKUP(D230,دپارتمان!A:B,2,0)</f>
        <v>D007</v>
      </c>
      <c r="K230" t="str">
        <f>VLOOKUP(F230,'واحد سنجش'!A:B,2,0)</f>
        <v>U007</v>
      </c>
    </row>
    <row r="231" spans="1:11" x14ac:dyDescent="0.25">
      <c r="A231" t="s">
        <v>7</v>
      </c>
      <c r="B231" t="s">
        <v>8</v>
      </c>
      <c r="C231" t="s">
        <v>515</v>
      </c>
      <c r="D231" t="s">
        <v>10</v>
      </c>
      <c r="E231" t="s">
        <v>11</v>
      </c>
      <c r="F231" t="s">
        <v>12</v>
      </c>
      <c r="G231" t="s">
        <v>516</v>
      </c>
      <c r="H231" t="str">
        <f>VLOOKUP(E231,منظر!A:B,2,0)</f>
        <v>V001</v>
      </c>
      <c r="I231" t="str">
        <f>VLOOKUP(A231,استراتژی!A:B,2,0)</f>
        <v>S001</v>
      </c>
      <c r="J231" t="str">
        <f>VLOOKUP(D231,دپارتمان!A:B,2,0)</f>
        <v>D001</v>
      </c>
      <c r="K231" t="str">
        <f>VLOOKUP(F231,'واحد سنجش'!A:B,2,0)</f>
        <v>U001</v>
      </c>
    </row>
    <row r="232" spans="1:11" x14ac:dyDescent="0.25">
      <c r="A232" t="s">
        <v>14</v>
      </c>
      <c r="B232" t="s">
        <v>53</v>
      </c>
      <c r="C232" t="s">
        <v>517</v>
      </c>
      <c r="D232" t="s">
        <v>10</v>
      </c>
      <c r="E232" t="s">
        <v>11</v>
      </c>
      <c r="F232" t="s">
        <v>12</v>
      </c>
      <c r="G232" t="s">
        <v>518</v>
      </c>
      <c r="H232" t="str">
        <f>VLOOKUP(E232,منظر!A:B,2,0)</f>
        <v>V001</v>
      </c>
      <c r="I232" t="str">
        <f>VLOOKUP(A232,استراتژی!A:B,2,0)</f>
        <v>S002</v>
      </c>
      <c r="J232" t="str">
        <f>VLOOKUP(D232,دپارتمان!A:B,2,0)</f>
        <v>D001</v>
      </c>
      <c r="K232" t="str">
        <f>VLOOKUP(F232,'واحد سنجش'!A:B,2,0)</f>
        <v>U001</v>
      </c>
    </row>
    <row r="233" spans="1:11" x14ac:dyDescent="0.25">
      <c r="A233" t="s">
        <v>20</v>
      </c>
      <c r="B233" t="s">
        <v>8</v>
      </c>
      <c r="C233" t="s">
        <v>519</v>
      </c>
      <c r="D233" t="s">
        <v>331</v>
      </c>
      <c r="E233" t="s">
        <v>23</v>
      </c>
      <c r="F233" t="s">
        <v>36</v>
      </c>
      <c r="G233" t="s">
        <v>520</v>
      </c>
      <c r="H233" t="str">
        <f>VLOOKUP(E233,منظر!A:B,2,0)</f>
        <v>V002</v>
      </c>
      <c r="I233" t="str">
        <f>VLOOKUP(A233,استراتژی!A:B,2,0)</f>
        <v>S003</v>
      </c>
      <c r="J233" t="str">
        <f>VLOOKUP(D233,دپارتمان!A:B,2,0)</f>
        <v>D013</v>
      </c>
      <c r="K233" t="str">
        <f>VLOOKUP(F233,'واحد سنجش'!A:B,2,0)</f>
        <v>U003</v>
      </c>
    </row>
    <row r="234" spans="1:11" x14ac:dyDescent="0.25">
      <c r="A234" t="s">
        <v>25</v>
      </c>
      <c r="B234" t="s">
        <v>8</v>
      </c>
      <c r="C234" t="s">
        <v>521</v>
      </c>
      <c r="D234" t="s">
        <v>331</v>
      </c>
      <c r="E234" t="s">
        <v>23</v>
      </c>
      <c r="F234" t="s">
        <v>12</v>
      </c>
      <c r="G234" t="s">
        <v>522</v>
      </c>
      <c r="H234" t="str">
        <f>VLOOKUP(E234,منظر!A:B,2,0)</f>
        <v>V002</v>
      </c>
      <c r="I234" t="str">
        <f>VLOOKUP(A234,استراتژی!A:B,2,0)</f>
        <v>S004</v>
      </c>
      <c r="J234" t="str">
        <f>VLOOKUP(D234,دپارتمان!A:B,2,0)</f>
        <v>D013</v>
      </c>
      <c r="K234" t="str">
        <f>VLOOKUP(F234,'واحد سنجش'!A:B,2,0)</f>
        <v>U001</v>
      </c>
    </row>
    <row r="235" spans="1:11" x14ac:dyDescent="0.25">
      <c r="A235" t="s">
        <v>14</v>
      </c>
      <c r="B235" t="s">
        <v>15</v>
      </c>
      <c r="C235" t="s">
        <v>523</v>
      </c>
      <c r="D235" t="s">
        <v>10</v>
      </c>
      <c r="E235" t="s">
        <v>11</v>
      </c>
      <c r="F235" t="s">
        <v>153</v>
      </c>
      <c r="G235" t="s">
        <v>524</v>
      </c>
      <c r="H235" t="str">
        <f>VLOOKUP(E235,منظر!A:B,2,0)</f>
        <v>V001</v>
      </c>
      <c r="I235" t="str">
        <f>VLOOKUP(A235,استراتژی!A:B,2,0)</f>
        <v>S002</v>
      </c>
      <c r="J235" t="str">
        <f>VLOOKUP(D235,دپارتمان!A:B,2,0)</f>
        <v>D001</v>
      </c>
      <c r="K235" t="str">
        <f>VLOOKUP(F235,'واحد سنجش'!A:B,2,0)</f>
        <v>U009</v>
      </c>
    </row>
    <row r="236" spans="1:11" x14ac:dyDescent="0.25">
      <c r="A236" t="s">
        <v>25</v>
      </c>
      <c r="B236" t="s">
        <v>53</v>
      </c>
      <c r="C236" t="s">
        <v>525</v>
      </c>
      <c r="D236" t="s">
        <v>331</v>
      </c>
      <c r="E236" t="s">
        <v>23</v>
      </c>
      <c r="F236" t="s">
        <v>12</v>
      </c>
      <c r="G236" t="s">
        <v>526</v>
      </c>
      <c r="H236" t="str">
        <f>VLOOKUP(E236,منظر!A:B,2,0)</f>
        <v>V002</v>
      </c>
      <c r="I236" t="str">
        <f>VLOOKUP(A236,استراتژی!A:B,2,0)</f>
        <v>S004</v>
      </c>
      <c r="J236" t="str">
        <f>VLOOKUP(D236,دپارتمان!A:B,2,0)</f>
        <v>D013</v>
      </c>
      <c r="K236" t="str">
        <f>VLOOKUP(F236,'واحد سنجش'!A:B,2,0)</f>
        <v>U001</v>
      </c>
    </row>
    <row r="237" spans="1:11" x14ac:dyDescent="0.25">
      <c r="A237" t="s">
        <v>527</v>
      </c>
      <c r="B237" t="s">
        <v>8</v>
      </c>
      <c r="C237" t="s">
        <v>528</v>
      </c>
      <c r="D237" t="s">
        <v>313</v>
      </c>
      <c r="E237" t="s">
        <v>23</v>
      </c>
      <c r="F237" t="s">
        <v>36</v>
      </c>
      <c r="G237" t="s">
        <v>529</v>
      </c>
      <c r="H237" t="str">
        <f>VLOOKUP(E237,منظر!A:B,2,0)</f>
        <v>V002</v>
      </c>
      <c r="I237" t="str">
        <f>VLOOKUP(A237,استراتژی!A:B,2,0)</f>
        <v>S018</v>
      </c>
      <c r="J237" t="str">
        <f>VLOOKUP(D237,دپارتمان!A:B,2,0)</f>
        <v>D011</v>
      </c>
      <c r="K237" t="str">
        <f>VLOOKUP(F237,'واحد سنجش'!A:B,2,0)</f>
        <v>U003</v>
      </c>
    </row>
    <row r="238" spans="1:11" x14ac:dyDescent="0.25">
      <c r="A238" t="s">
        <v>105</v>
      </c>
      <c r="B238" t="s">
        <v>53</v>
      </c>
      <c r="C238" t="s">
        <v>530</v>
      </c>
      <c r="D238" t="s">
        <v>313</v>
      </c>
      <c r="E238" t="s">
        <v>107</v>
      </c>
      <c r="F238" t="s">
        <v>36</v>
      </c>
      <c r="G238" t="s">
        <v>531</v>
      </c>
      <c r="H238" t="str">
        <f>VLOOKUP(E238,منظر!A:B,2,0)</f>
        <v>V004</v>
      </c>
      <c r="I238" t="str">
        <f>VLOOKUP(A238,استراتژی!A:B,2,0)</f>
        <v>S007</v>
      </c>
      <c r="J238" t="str">
        <f>VLOOKUP(D238,دپارتمان!A:B,2,0)</f>
        <v>D011</v>
      </c>
      <c r="K238" t="str">
        <f>VLOOKUP(F238,'واحد سنجش'!A:B,2,0)</f>
        <v>U003</v>
      </c>
    </row>
    <row r="239" spans="1:11" x14ac:dyDescent="0.25">
      <c r="A239" t="s">
        <v>105</v>
      </c>
      <c r="B239" t="s">
        <v>53</v>
      </c>
      <c r="C239" t="s">
        <v>532</v>
      </c>
      <c r="D239" t="s">
        <v>313</v>
      </c>
      <c r="E239" t="s">
        <v>107</v>
      </c>
      <c r="F239" t="s">
        <v>36</v>
      </c>
      <c r="G239" t="s">
        <v>533</v>
      </c>
      <c r="H239" t="str">
        <f>VLOOKUP(E239,منظر!A:B,2,0)</f>
        <v>V004</v>
      </c>
      <c r="I239" t="str">
        <f>VLOOKUP(A239,استراتژی!A:B,2,0)</f>
        <v>S007</v>
      </c>
      <c r="J239" t="str">
        <f>VLOOKUP(D239,دپارتمان!A:B,2,0)</f>
        <v>D011</v>
      </c>
      <c r="K239" t="str">
        <f>VLOOKUP(F239,'واحد سنجش'!A:B,2,0)</f>
        <v>U003</v>
      </c>
    </row>
    <row r="240" spans="1:11" x14ac:dyDescent="0.25">
      <c r="A240" t="s">
        <v>105</v>
      </c>
      <c r="B240" t="s">
        <v>53</v>
      </c>
      <c r="C240" t="s">
        <v>534</v>
      </c>
      <c r="D240" t="s">
        <v>313</v>
      </c>
      <c r="E240" t="s">
        <v>107</v>
      </c>
      <c r="F240" t="s">
        <v>36</v>
      </c>
      <c r="G240" t="s">
        <v>535</v>
      </c>
      <c r="H240" t="str">
        <f>VLOOKUP(E240,منظر!A:B,2,0)</f>
        <v>V004</v>
      </c>
      <c r="I240" t="str">
        <f>VLOOKUP(A240,استراتژی!A:B,2,0)</f>
        <v>S007</v>
      </c>
      <c r="J240" t="str">
        <f>VLOOKUP(D240,دپارتمان!A:B,2,0)</f>
        <v>D011</v>
      </c>
      <c r="K240" t="str">
        <f>VLOOKUP(F240,'واحد سنجش'!A:B,2,0)</f>
        <v>U003</v>
      </c>
    </row>
    <row r="241" spans="1:11" x14ac:dyDescent="0.25">
      <c r="A241" t="s">
        <v>105</v>
      </c>
      <c r="B241" t="s">
        <v>53</v>
      </c>
      <c r="C241" t="s">
        <v>536</v>
      </c>
      <c r="D241" t="s">
        <v>313</v>
      </c>
      <c r="E241" t="s">
        <v>107</v>
      </c>
      <c r="F241" t="s">
        <v>36</v>
      </c>
      <c r="G241" t="s">
        <v>537</v>
      </c>
      <c r="H241" t="str">
        <f>VLOOKUP(E241,منظر!A:B,2,0)</f>
        <v>V004</v>
      </c>
      <c r="I241" t="str">
        <f>VLOOKUP(A241,استراتژی!A:B,2,0)</f>
        <v>S007</v>
      </c>
      <c r="J241" t="str">
        <f>VLOOKUP(D241,دپارتمان!A:B,2,0)</f>
        <v>D011</v>
      </c>
      <c r="K241" t="str">
        <f>VLOOKUP(F241,'واحد سنجش'!A:B,2,0)</f>
        <v>U003</v>
      </c>
    </row>
    <row r="242" spans="1:11" x14ac:dyDescent="0.25">
      <c r="A242" t="s">
        <v>105</v>
      </c>
      <c r="B242" t="s">
        <v>53</v>
      </c>
      <c r="C242" t="s">
        <v>538</v>
      </c>
      <c r="D242" t="s">
        <v>313</v>
      </c>
      <c r="E242" t="s">
        <v>107</v>
      </c>
      <c r="F242" t="s">
        <v>36</v>
      </c>
      <c r="G242" t="s">
        <v>539</v>
      </c>
      <c r="H242" t="str">
        <f>VLOOKUP(E242,منظر!A:B,2,0)</f>
        <v>V004</v>
      </c>
      <c r="I242" t="str">
        <f>VLOOKUP(A242,استراتژی!A:B,2,0)</f>
        <v>S007</v>
      </c>
      <c r="J242" t="str">
        <f>VLOOKUP(D242,دپارتمان!A:B,2,0)</f>
        <v>D011</v>
      </c>
      <c r="K242" t="str">
        <f>VLOOKUP(F242,'واحد سنجش'!A:B,2,0)</f>
        <v>U003</v>
      </c>
    </row>
    <row r="243" spans="1:11" x14ac:dyDescent="0.25">
      <c r="A243" t="s">
        <v>105</v>
      </c>
      <c r="B243" t="s">
        <v>53</v>
      </c>
      <c r="C243" t="s">
        <v>540</v>
      </c>
      <c r="D243" t="s">
        <v>313</v>
      </c>
      <c r="E243" t="s">
        <v>107</v>
      </c>
      <c r="F243" t="s">
        <v>12</v>
      </c>
      <c r="G243" t="s">
        <v>541</v>
      </c>
      <c r="H243" t="str">
        <f>VLOOKUP(E243,منظر!A:B,2,0)</f>
        <v>V004</v>
      </c>
      <c r="I243" t="str">
        <f>VLOOKUP(A243,استراتژی!A:B,2,0)</f>
        <v>S007</v>
      </c>
      <c r="J243" t="str">
        <f>VLOOKUP(D243,دپارتمان!A:B,2,0)</f>
        <v>D011</v>
      </c>
      <c r="K243" t="str">
        <f>VLOOKUP(F243,'واحد سنجش'!A:B,2,0)</f>
        <v>U001</v>
      </c>
    </row>
    <row r="244" spans="1:11" x14ac:dyDescent="0.25">
      <c r="A244" t="s">
        <v>254</v>
      </c>
      <c r="B244" t="s">
        <v>53</v>
      </c>
      <c r="C244" t="s">
        <v>542</v>
      </c>
      <c r="D244" t="s">
        <v>313</v>
      </c>
      <c r="E244" t="s">
        <v>11</v>
      </c>
      <c r="F244" t="s">
        <v>153</v>
      </c>
      <c r="G244" t="s">
        <v>543</v>
      </c>
      <c r="H244" t="str">
        <f>VLOOKUP(E244,منظر!A:B,2,0)</f>
        <v>V001</v>
      </c>
      <c r="I244" t="str">
        <f>VLOOKUP(A244,استراتژی!A:B,2,0)</f>
        <v>S015</v>
      </c>
      <c r="J244" t="str">
        <f>VLOOKUP(D244,دپارتمان!A:B,2,0)</f>
        <v>D011</v>
      </c>
      <c r="K244" t="str">
        <f>VLOOKUP(F244,'واحد سنجش'!A:B,2,0)</f>
        <v>U009</v>
      </c>
    </row>
    <row r="245" spans="1:11" x14ac:dyDescent="0.25">
      <c r="A245" t="s">
        <v>20</v>
      </c>
      <c r="B245" t="s">
        <v>8</v>
      </c>
      <c r="C245" t="s">
        <v>544</v>
      </c>
      <c r="D245" t="s">
        <v>331</v>
      </c>
      <c r="E245" t="s">
        <v>23</v>
      </c>
      <c r="F245" t="s">
        <v>36</v>
      </c>
      <c r="G245" t="s">
        <v>545</v>
      </c>
      <c r="H245" t="str">
        <f>VLOOKUP(E245,منظر!A:B,2,0)</f>
        <v>V002</v>
      </c>
      <c r="I245" t="str">
        <f>VLOOKUP(A245,استراتژی!A:B,2,0)</f>
        <v>S003</v>
      </c>
      <c r="J245" t="str">
        <f>VLOOKUP(D245,دپارتمان!A:B,2,0)</f>
        <v>D013</v>
      </c>
      <c r="K245" t="str">
        <f>VLOOKUP(F245,'واحد سنجش'!A:B,2,0)</f>
        <v>U003</v>
      </c>
    </row>
    <row r="246" spans="1:11" x14ac:dyDescent="0.25">
      <c r="A246" t="s">
        <v>25</v>
      </c>
      <c r="B246" t="s">
        <v>8</v>
      </c>
      <c r="C246" t="s">
        <v>546</v>
      </c>
      <c r="D246" t="s">
        <v>331</v>
      </c>
      <c r="E246" t="s">
        <v>23</v>
      </c>
      <c r="F246" t="s">
        <v>12</v>
      </c>
      <c r="G246" t="s">
        <v>547</v>
      </c>
      <c r="H246" t="str">
        <f>VLOOKUP(E246,منظر!A:B,2,0)</f>
        <v>V002</v>
      </c>
      <c r="I246" t="str">
        <f>VLOOKUP(A246,استراتژی!A:B,2,0)</f>
        <v>S004</v>
      </c>
      <c r="J246" t="str">
        <f>VLOOKUP(D246,دپارتمان!A:B,2,0)</f>
        <v>D013</v>
      </c>
      <c r="K246" t="str">
        <f>VLOOKUP(F246,'واحد سنجش'!A:B,2,0)</f>
        <v>U001</v>
      </c>
    </row>
    <row r="247" spans="1:11" x14ac:dyDescent="0.25">
      <c r="A247" t="s">
        <v>25</v>
      </c>
      <c r="B247" t="s">
        <v>53</v>
      </c>
      <c r="C247" t="s">
        <v>548</v>
      </c>
      <c r="D247" t="s">
        <v>331</v>
      </c>
      <c r="E247" t="s">
        <v>23</v>
      </c>
      <c r="F247" t="s">
        <v>12</v>
      </c>
      <c r="G247" t="s">
        <v>549</v>
      </c>
      <c r="H247" t="str">
        <f>VLOOKUP(E247,منظر!A:B,2,0)</f>
        <v>V002</v>
      </c>
      <c r="I247" t="str">
        <f>VLOOKUP(A247,استراتژی!A:B,2,0)</f>
        <v>S004</v>
      </c>
      <c r="J247" t="str">
        <f>VLOOKUP(D247,دپارتمان!A:B,2,0)</f>
        <v>D013</v>
      </c>
      <c r="K247" t="str">
        <f>VLOOKUP(F247,'واحد سنجش'!A:B,2,0)</f>
        <v>U001</v>
      </c>
    </row>
    <row r="248" spans="1:11" x14ac:dyDescent="0.25">
      <c r="A248" t="s">
        <v>25</v>
      </c>
      <c r="B248" t="s">
        <v>53</v>
      </c>
      <c r="C248" t="s">
        <v>550</v>
      </c>
      <c r="D248" t="s">
        <v>331</v>
      </c>
      <c r="E248" t="s">
        <v>23</v>
      </c>
      <c r="F248" t="s">
        <v>12</v>
      </c>
      <c r="G248" t="s">
        <v>551</v>
      </c>
      <c r="H248" t="str">
        <f>VLOOKUP(E248,منظر!A:B,2,0)</f>
        <v>V002</v>
      </c>
      <c r="I248" t="str">
        <f>VLOOKUP(A248,استراتژی!A:B,2,0)</f>
        <v>S004</v>
      </c>
      <c r="J248" t="str">
        <f>VLOOKUP(D248,دپارتمان!A:B,2,0)</f>
        <v>D013</v>
      </c>
      <c r="K248" t="str">
        <f>VLOOKUP(F248,'واحد سنجش'!A:B,2,0)</f>
        <v>U001</v>
      </c>
    </row>
    <row r="249" spans="1:11" x14ac:dyDescent="0.25">
      <c r="A249" t="s">
        <v>14</v>
      </c>
      <c r="B249" t="s">
        <v>53</v>
      </c>
      <c r="C249" t="s">
        <v>552</v>
      </c>
      <c r="D249" t="s">
        <v>331</v>
      </c>
      <c r="E249" t="s">
        <v>11</v>
      </c>
      <c r="F249" t="s">
        <v>12</v>
      </c>
      <c r="G249" t="s">
        <v>553</v>
      </c>
      <c r="H249" t="str">
        <f>VLOOKUP(E249,منظر!A:B,2,0)</f>
        <v>V001</v>
      </c>
      <c r="I249" t="str">
        <f>VLOOKUP(A249,استراتژی!A:B,2,0)</f>
        <v>S002</v>
      </c>
      <c r="J249" t="str">
        <f>VLOOKUP(D249,دپارتمان!A:B,2,0)</f>
        <v>D013</v>
      </c>
      <c r="K249" t="str">
        <f>VLOOKUP(F249,'واحد سنجش'!A:B,2,0)</f>
        <v>U001</v>
      </c>
    </row>
    <row r="250" spans="1:11" x14ac:dyDescent="0.25">
      <c r="A250" t="s">
        <v>184</v>
      </c>
      <c r="B250" t="s">
        <v>53</v>
      </c>
      <c r="C250" t="s">
        <v>554</v>
      </c>
      <c r="D250" t="s">
        <v>331</v>
      </c>
      <c r="E250" t="s">
        <v>62</v>
      </c>
      <c r="F250" t="s">
        <v>12</v>
      </c>
      <c r="G250" t="s">
        <v>555</v>
      </c>
      <c r="H250" t="str">
        <f>VLOOKUP(E250,منظر!A:B,2,0)</f>
        <v>V003</v>
      </c>
      <c r="I250" t="str">
        <f>VLOOKUP(A250,استراتژی!A:B,2,0)</f>
        <v>S013</v>
      </c>
      <c r="J250" t="str">
        <f>VLOOKUP(D250,دپارتمان!A:B,2,0)</f>
        <v>D013</v>
      </c>
      <c r="K250" t="str">
        <f>VLOOKUP(F250,'واحد سنجش'!A:B,2,0)</f>
        <v>U001</v>
      </c>
    </row>
    <row r="251" spans="1:11" x14ac:dyDescent="0.25">
      <c r="A251" t="s">
        <v>527</v>
      </c>
      <c r="B251" t="s">
        <v>8</v>
      </c>
      <c r="C251" t="s">
        <v>556</v>
      </c>
      <c r="D251" t="s">
        <v>331</v>
      </c>
      <c r="E251" t="s">
        <v>23</v>
      </c>
      <c r="F251" t="s">
        <v>12</v>
      </c>
      <c r="G251" t="s">
        <v>557</v>
      </c>
      <c r="H251" t="str">
        <f>VLOOKUP(E251,منظر!A:B,2,0)</f>
        <v>V002</v>
      </c>
      <c r="I251" t="str">
        <f>VLOOKUP(A251,استراتژی!A:B,2,0)</f>
        <v>S018</v>
      </c>
      <c r="J251" t="str">
        <f>VLOOKUP(D251,دپارتمان!A:B,2,0)</f>
        <v>D013</v>
      </c>
      <c r="K251" t="str">
        <f>VLOOKUP(F251,'واحد سنجش'!A:B,2,0)</f>
        <v>U001</v>
      </c>
    </row>
    <row r="252" spans="1:11" x14ac:dyDescent="0.25">
      <c r="A252" t="s">
        <v>25</v>
      </c>
      <c r="B252" t="s">
        <v>8</v>
      </c>
      <c r="C252" t="s">
        <v>558</v>
      </c>
      <c r="D252" t="s">
        <v>331</v>
      </c>
      <c r="E252" t="s">
        <v>23</v>
      </c>
      <c r="F252" t="s">
        <v>153</v>
      </c>
      <c r="G252" t="s">
        <v>559</v>
      </c>
      <c r="H252" t="str">
        <f>VLOOKUP(E252,منظر!A:B,2,0)</f>
        <v>V002</v>
      </c>
      <c r="I252" t="str">
        <f>VLOOKUP(A252,استراتژی!A:B,2,0)</f>
        <v>S004</v>
      </c>
      <c r="J252" t="str">
        <f>VLOOKUP(D252,دپارتمان!A:B,2,0)</f>
        <v>D013</v>
      </c>
      <c r="K252" t="str">
        <f>VLOOKUP(F252,'واحد سنجش'!A:B,2,0)</f>
        <v>U009</v>
      </c>
    </row>
    <row r="253" spans="1:11" x14ac:dyDescent="0.25">
      <c r="A253" t="s">
        <v>20</v>
      </c>
      <c r="B253" t="s">
        <v>8</v>
      </c>
      <c r="C253" t="s">
        <v>560</v>
      </c>
      <c r="D253" t="s">
        <v>331</v>
      </c>
      <c r="E253" t="s">
        <v>23</v>
      </c>
      <c r="F253" t="s">
        <v>55</v>
      </c>
      <c r="G253" t="s">
        <v>561</v>
      </c>
      <c r="H253" t="str">
        <f>VLOOKUP(E253,منظر!A:B,2,0)</f>
        <v>V002</v>
      </c>
      <c r="I253" t="str">
        <f>VLOOKUP(A253,استراتژی!A:B,2,0)</f>
        <v>S003</v>
      </c>
      <c r="J253" t="str">
        <f>VLOOKUP(D253,دپارتمان!A:B,2,0)</f>
        <v>D013</v>
      </c>
      <c r="K253" t="str">
        <f>VLOOKUP(F253,'واحد سنجش'!A:B,2,0)</f>
        <v>U005</v>
      </c>
    </row>
    <row r="254" spans="1:11" x14ac:dyDescent="0.25">
      <c r="A254" t="s">
        <v>14</v>
      </c>
      <c r="B254" t="s">
        <v>53</v>
      </c>
      <c r="C254" t="s">
        <v>562</v>
      </c>
      <c r="D254" t="s">
        <v>563</v>
      </c>
      <c r="E254" t="s">
        <v>11</v>
      </c>
      <c r="F254" t="s">
        <v>18</v>
      </c>
      <c r="G254" t="s">
        <v>564</v>
      </c>
      <c r="H254" t="str">
        <f>VLOOKUP(E254,منظر!A:B,2,0)</f>
        <v>V001</v>
      </c>
      <c r="I254" t="str">
        <f>VLOOKUP(A254,استراتژی!A:B,2,0)</f>
        <v>S002</v>
      </c>
      <c r="J254" t="str">
        <f>VLOOKUP(D254,دپارتمان!A:B,2,0)</f>
        <v>D017</v>
      </c>
      <c r="K254" t="str">
        <f>VLOOKUP(F254,'واحد سنجش'!A:B,2,0)</f>
        <v>U002</v>
      </c>
    </row>
    <row r="255" spans="1:11" x14ac:dyDescent="0.25">
      <c r="A255" t="s">
        <v>20</v>
      </c>
      <c r="B255" t="s">
        <v>8</v>
      </c>
      <c r="C255" t="s">
        <v>565</v>
      </c>
      <c r="D255" t="s">
        <v>331</v>
      </c>
      <c r="E255" t="s">
        <v>23</v>
      </c>
      <c r="F255" t="s">
        <v>55</v>
      </c>
      <c r="G255" t="s">
        <v>566</v>
      </c>
      <c r="H255" t="str">
        <f>VLOOKUP(E255,منظر!A:B,2,0)</f>
        <v>V002</v>
      </c>
      <c r="I255" t="str">
        <f>VLOOKUP(A255,استراتژی!A:B,2,0)</f>
        <v>S003</v>
      </c>
      <c r="J255" t="str">
        <f>VLOOKUP(D255,دپارتمان!A:B,2,0)</f>
        <v>D013</v>
      </c>
      <c r="K255" t="str">
        <f>VLOOKUP(F255,'واحد سنجش'!A:B,2,0)</f>
        <v>U005</v>
      </c>
    </row>
    <row r="256" spans="1:11" x14ac:dyDescent="0.25">
      <c r="A256" t="s">
        <v>184</v>
      </c>
      <c r="B256" t="s">
        <v>8</v>
      </c>
      <c r="C256" t="s">
        <v>567</v>
      </c>
      <c r="D256" t="s">
        <v>563</v>
      </c>
      <c r="E256" t="s">
        <v>62</v>
      </c>
      <c r="F256" t="s">
        <v>79</v>
      </c>
      <c r="G256" t="s">
        <v>568</v>
      </c>
      <c r="H256" t="str">
        <f>VLOOKUP(E256,منظر!A:B,2,0)</f>
        <v>V003</v>
      </c>
      <c r="I256" t="str">
        <f>VLOOKUP(A256,استراتژی!A:B,2,0)</f>
        <v>S013</v>
      </c>
      <c r="J256" t="str">
        <f>VLOOKUP(D256,دپارتمان!A:B,2,0)</f>
        <v>D017</v>
      </c>
      <c r="K256" t="str">
        <f>VLOOKUP(F256,'واحد سنجش'!A:B,2,0)</f>
        <v>U006</v>
      </c>
    </row>
    <row r="257" spans="1:11" x14ac:dyDescent="0.25">
      <c r="A257" t="s">
        <v>254</v>
      </c>
      <c r="B257" t="s">
        <v>53</v>
      </c>
      <c r="C257" t="s">
        <v>569</v>
      </c>
      <c r="D257" t="s">
        <v>563</v>
      </c>
      <c r="E257" t="s">
        <v>11</v>
      </c>
      <c r="F257" t="s">
        <v>36</v>
      </c>
      <c r="G257" t="s">
        <v>570</v>
      </c>
      <c r="H257" t="str">
        <f>VLOOKUP(E257,منظر!A:B,2,0)</f>
        <v>V001</v>
      </c>
      <c r="I257" t="str">
        <f>VLOOKUP(A257,استراتژی!A:B,2,0)</f>
        <v>S015</v>
      </c>
      <c r="J257" t="str">
        <f>VLOOKUP(D257,دپارتمان!A:B,2,0)</f>
        <v>D017</v>
      </c>
      <c r="K257" t="str">
        <f>VLOOKUP(F257,'واحد سنجش'!A:B,2,0)</f>
        <v>U003</v>
      </c>
    </row>
    <row r="258" spans="1:11" x14ac:dyDescent="0.25">
      <c r="A258" t="s">
        <v>254</v>
      </c>
      <c r="B258" t="s">
        <v>53</v>
      </c>
      <c r="C258" t="s">
        <v>571</v>
      </c>
      <c r="D258" t="s">
        <v>563</v>
      </c>
      <c r="E258" t="s">
        <v>11</v>
      </c>
      <c r="F258" t="s">
        <v>36</v>
      </c>
      <c r="G258" t="s">
        <v>572</v>
      </c>
      <c r="H258" t="str">
        <f>VLOOKUP(E258,منظر!A:B,2,0)</f>
        <v>V001</v>
      </c>
      <c r="I258" t="str">
        <f>VLOOKUP(A258,استراتژی!A:B,2,0)</f>
        <v>S015</v>
      </c>
      <c r="J258" t="str">
        <f>VLOOKUP(D258,دپارتمان!A:B,2,0)</f>
        <v>D017</v>
      </c>
      <c r="K258" t="str">
        <f>VLOOKUP(F258,'واحد سنجش'!A:B,2,0)</f>
        <v>U003</v>
      </c>
    </row>
    <row r="259" spans="1:11" x14ac:dyDescent="0.25">
      <c r="A259" t="s">
        <v>254</v>
      </c>
      <c r="B259" t="s">
        <v>53</v>
      </c>
      <c r="C259" t="s">
        <v>573</v>
      </c>
      <c r="D259" t="s">
        <v>563</v>
      </c>
      <c r="E259" t="s">
        <v>11</v>
      </c>
      <c r="F259" t="s">
        <v>55</v>
      </c>
      <c r="G259" t="s">
        <v>574</v>
      </c>
      <c r="H259" t="str">
        <f>VLOOKUP(E259,منظر!A:B,2,0)</f>
        <v>V001</v>
      </c>
      <c r="I259" t="str">
        <f>VLOOKUP(A259,استراتژی!A:B,2,0)</f>
        <v>S015</v>
      </c>
      <c r="J259" t="str">
        <f>VLOOKUP(D259,دپارتمان!A:B,2,0)</f>
        <v>D017</v>
      </c>
      <c r="K259" t="str">
        <f>VLOOKUP(F259,'واحد سنجش'!A:B,2,0)</f>
        <v>U005</v>
      </c>
    </row>
    <row r="260" spans="1:11" x14ac:dyDescent="0.25">
      <c r="A260" t="s">
        <v>114</v>
      </c>
      <c r="B260" t="s">
        <v>8</v>
      </c>
      <c r="C260" t="s">
        <v>575</v>
      </c>
      <c r="D260" t="s">
        <v>331</v>
      </c>
      <c r="E260" t="s">
        <v>107</v>
      </c>
      <c r="F260" t="s">
        <v>55</v>
      </c>
      <c r="G260" t="s">
        <v>576</v>
      </c>
      <c r="H260" t="str">
        <f>VLOOKUP(E260,منظر!A:B,2,0)</f>
        <v>V004</v>
      </c>
      <c r="I260" t="str">
        <f>VLOOKUP(A260,استراتژی!A:B,2,0)</f>
        <v>S008</v>
      </c>
      <c r="J260" t="str">
        <f>VLOOKUP(D260,دپارتمان!A:B,2,0)</f>
        <v>D013</v>
      </c>
      <c r="K260" t="str">
        <f>VLOOKUP(F260,'واحد سنجش'!A:B,2,0)</f>
        <v>U005</v>
      </c>
    </row>
    <row r="261" spans="1:11" x14ac:dyDescent="0.25">
      <c r="A261" t="s">
        <v>114</v>
      </c>
      <c r="B261" t="s">
        <v>8</v>
      </c>
      <c r="C261" t="s">
        <v>577</v>
      </c>
      <c r="D261" t="s">
        <v>331</v>
      </c>
      <c r="E261" t="s">
        <v>107</v>
      </c>
      <c r="F261" t="s">
        <v>12</v>
      </c>
      <c r="G261" t="s">
        <v>578</v>
      </c>
      <c r="H261" t="str">
        <f>VLOOKUP(E261,منظر!A:B,2,0)</f>
        <v>V004</v>
      </c>
      <c r="I261" t="str">
        <f>VLOOKUP(A261,استراتژی!A:B,2,0)</f>
        <v>S008</v>
      </c>
      <c r="J261" t="str">
        <f>VLOOKUP(D261,دپارتمان!A:B,2,0)</f>
        <v>D013</v>
      </c>
      <c r="K261" t="str">
        <f>VLOOKUP(F261,'واحد سنجش'!A:B,2,0)</f>
        <v>U001</v>
      </c>
    </row>
    <row r="262" spans="1:11" x14ac:dyDescent="0.25">
      <c r="A262" t="s">
        <v>25</v>
      </c>
      <c r="B262" t="s">
        <v>53</v>
      </c>
      <c r="C262" t="s">
        <v>579</v>
      </c>
      <c r="D262" t="s">
        <v>331</v>
      </c>
      <c r="E262" t="s">
        <v>23</v>
      </c>
      <c r="F262" t="s">
        <v>153</v>
      </c>
      <c r="G262" t="s">
        <v>580</v>
      </c>
      <c r="H262" t="str">
        <f>VLOOKUP(E262,منظر!A:B,2,0)</f>
        <v>V002</v>
      </c>
      <c r="I262" t="str">
        <f>VLOOKUP(A262,استراتژی!A:B,2,0)</f>
        <v>S004</v>
      </c>
      <c r="J262" t="str">
        <f>VLOOKUP(D262,دپارتمان!A:B,2,0)</f>
        <v>D013</v>
      </c>
      <c r="K262" t="str">
        <f>VLOOKUP(F262,'واحد سنجش'!A:B,2,0)</f>
        <v>U009</v>
      </c>
    </row>
    <row r="263" spans="1:11" x14ac:dyDescent="0.25">
      <c r="A263" t="s">
        <v>20</v>
      </c>
      <c r="B263" t="s">
        <v>8</v>
      </c>
      <c r="C263" t="s">
        <v>581</v>
      </c>
      <c r="D263" t="s">
        <v>331</v>
      </c>
      <c r="E263" t="s">
        <v>23</v>
      </c>
      <c r="F263" t="s">
        <v>414</v>
      </c>
      <c r="G263" t="s">
        <v>582</v>
      </c>
      <c r="H263" t="str">
        <f>VLOOKUP(E263,منظر!A:B,2,0)</f>
        <v>V002</v>
      </c>
      <c r="I263" t="str">
        <f>VLOOKUP(A263,استراتژی!A:B,2,0)</f>
        <v>S003</v>
      </c>
      <c r="J263" t="str">
        <f>VLOOKUP(D263,دپارتمان!A:B,2,0)</f>
        <v>D013</v>
      </c>
      <c r="K263" t="str">
        <f>VLOOKUP(F263,'واحد سنجش'!A:B,2,0)</f>
        <v>U012</v>
      </c>
    </row>
    <row r="264" spans="1:11" x14ac:dyDescent="0.25">
      <c r="A264" t="s">
        <v>105</v>
      </c>
      <c r="B264" t="s">
        <v>8</v>
      </c>
      <c r="C264" t="s">
        <v>583</v>
      </c>
      <c r="D264" t="s">
        <v>107</v>
      </c>
      <c r="E264" t="s">
        <v>107</v>
      </c>
      <c r="F264" t="s">
        <v>18</v>
      </c>
      <c r="G264" t="s">
        <v>584</v>
      </c>
      <c r="H264" t="str">
        <f>VLOOKUP(E264,منظر!A:B,2,0)</f>
        <v>V004</v>
      </c>
      <c r="I264" t="str">
        <f>VLOOKUP(A264,استراتژی!A:B,2,0)</f>
        <v>S007</v>
      </c>
      <c r="J264" t="str">
        <f>VLOOKUP(D264,دپارتمان!A:B,2,0)</f>
        <v>D005</v>
      </c>
      <c r="K264" t="str">
        <f>VLOOKUP(F264,'واحد سنجش'!A:B,2,0)</f>
        <v>U002</v>
      </c>
    </row>
    <row r="265" spans="1:11" x14ac:dyDescent="0.25">
      <c r="A265" t="s">
        <v>184</v>
      </c>
      <c r="B265" t="s">
        <v>53</v>
      </c>
      <c r="C265" t="s">
        <v>641</v>
      </c>
      <c r="D265" t="s">
        <v>17</v>
      </c>
      <c r="E265" t="s">
        <v>62</v>
      </c>
      <c r="F265" t="s">
        <v>12</v>
      </c>
      <c r="G265" t="s">
        <v>653</v>
      </c>
      <c r="H265" t="str">
        <f>VLOOKUP(E265,منظر!A:B,2,0)</f>
        <v>V003</v>
      </c>
      <c r="I265" t="str">
        <f>VLOOKUP(A265,استراتژی!A:B,2,0)</f>
        <v>S013</v>
      </c>
      <c r="J265" t="str">
        <f>VLOOKUP(D265,دپارتمان!A:B,2,0)</f>
        <v>D002</v>
      </c>
      <c r="K265" t="str">
        <f>VLOOKUP(F265,'واحد سنجش'!A:B,2,0)</f>
        <v>U001</v>
      </c>
    </row>
    <row r="266" spans="1:11" x14ac:dyDescent="0.25">
      <c r="A266" t="s">
        <v>184</v>
      </c>
      <c r="B266" t="s">
        <v>53</v>
      </c>
      <c r="C266" t="s">
        <v>642</v>
      </c>
      <c r="D266" t="s">
        <v>17</v>
      </c>
      <c r="E266" t="s">
        <v>62</v>
      </c>
      <c r="F266" t="s">
        <v>12</v>
      </c>
      <c r="G266" t="s">
        <v>654</v>
      </c>
      <c r="H266" t="str">
        <f>VLOOKUP(E266,منظر!A:B,2,0)</f>
        <v>V003</v>
      </c>
      <c r="I266" t="str">
        <f>VLOOKUP(A266,استراتژی!A:B,2,0)</f>
        <v>S013</v>
      </c>
      <c r="J266" t="str">
        <f>VLOOKUP(D266,دپارتمان!A:B,2,0)</f>
        <v>D002</v>
      </c>
      <c r="K266" t="str">
        <f>VLOOKUP(F266,'واحد سنجش'!A:B,2,0)</f>
        <v>U001</v>
      </c>
    </row>
    <row r="267" spans="1:11" x14ac:dyDescent="0.25">
      <c r="A267" t="s">
        <v>184</v>
      </c>
      <c r="B267" t="s">
        <v>53</v>
      </c>
      <c r="C267" t="s">
        <v>643</v>
      </c>
      <c r="D267" t="s">
        <v>17</v>
      </c>
      <c r="E267" t="s">
        <v>62</v>
      </c>
      <c r="F267" t="s">
        <v>12</v>
      </c>
      <c r="G267" t="s">
        <v>655</v>
      </c>
      <c r="H267" t="str">
        <f>VLOOKUP(E267,منظر!A:B,2,0)</f>
        <v>V003</v>
      </c>
      <c r="I267" t="str">
        <f>VLOOKUP(A267,استراتژی!A:B,2,0)</f>
        <v>S013</v>
      </c>
      <c r="J267" t="str">
        <f>VLOOKUP(D267,دپارتمان!A:B,2,0)</f>
        <v>D002</v>
      </c>
      <c r="K267" t="str">
        <f>VLOOKUP(F267,'واحد سنجش'!A:B,2,0)</f>
        <v>U001</v>
      </c>
    </row>
    <row r="268" spans="1:11" x14ac:dyDescent="0.25">
      <c r="A268" t="s">
        <v>184</v>
      </c>
      <c r="B268" t="s">
        <v>53</v>
      </c>
      <c r="C268" t="s">
        <v>644</v>
      </c>
      <c r="D268" t="s">
        <v>17</v>
      </c>
      <c r="E268" t="s">
        <v>62</v>
      </c>
      <c r="F268" t="s">
        <v>12</v>
      </c>
      <c r="G268" t="s">
        <v>656</v>
      </c>
      <c r="H268" t="str">
        <f>VLOOKUP(E268,منظر!A:B,2,0)</f>
        <v>V003</v>
      </c>
      <c r="I268" t="str">
        <f>VLOOKUP(A268,استراتژی!A:B,2,0)</f>
        <v>S013</v>
      </c>
      <c r="J268" t="str">
        <f>VLOOKUP(D268,دپارتمان!A:B,2,0)</f>
        <v>D002</v>
      </c>
      <c r="K268" t="str">
        <f>VLOOKUP(F268,'واحد سنجش'!A:B,2,0)</f>
        <v>U001</v>
      </c>
    </row>
    <row r="269" spans="1:11" x14ac:dyDescent="0.25">
      <c r="A269" t="s">
        <v>184</v>
      </c>
      <c r="B269" t="s">
        <v>15</v>
      </c>
      <c r="C269" t="s">
        <v>645</v>
      </c>
      <c r="D269" t="s">
        <v>17</v>
      </c>
      <c r="E269" t="s">
        <v>62</v>
      </c>
      <c r="F269" t="s">
        <v>12</v>
      </c>
      <c r="G269" t="s">
        <v>657</v>
      </c>
      <c r="H269" t="str">
        <f>VLOOKUP(E269,منظر!A:B,2,0)</f>
        <v>V003</v>
      </c>
      <c r="I269" t="str">
        <f>VLOOKUP(A269,استراتژی!A:B,2,0)</f>
        <v>S013</v>
      </c>
      <c r="J269" t="str">
        <f>VLOOKUP(D269,دپارتمان!A:B,2,0)</f>
        <v>D002</v>
      </c>
      <c r="K269" t="str">
        <f>VLOOKUP(F269,'واحد سنجش'!A:B,2,0)</f>
        <v>U001</v>
      </c>
    </row>
    <row r="270" spans="1:11" x14ac:dyDescent="0.25">
      <c r="A270" t="s">
        <v>184</v>
      </c>
      <c r="B270" t="s">
        <v>15</v>
      </c>
      <c r="C270" t="s">
        <v>646</v>
      </c>
      <c r="D270" t="s">
        <v>17</v>
      </c>
      <c r="E270" t="s">
        <v>62</v>
      </c>
      <c r="F270" t="s">
        <v>12</v>
      </c>
      <c r="G270" t="s">
        <v>658</v>
      </c>
      <c r="H270" t="str">
        <f>VLOOKUP(E270,منظر!A:B,2,0)</f>
        <v>V003</v>
      </c>
      <c r="I270" t="str">
        <f>VLOOKUP(A270,استراتژی!A:B,2,0)</f>
        <v>S013</v>
      </c>
      <c r="J270" t="str">
        <f>VLOOKUP(D270,دپارتمان!A:B,2,0)</f>
        <v>D002</v>
      </c>
      <c r="K270" t="str">
        <f>VLOOKUP(F270,'واحد سنجش'!A:B,2,0)</f>
        <v>U001</v>
      </c>
    </row>
    <row r="271" spans="1:11" x14ac:dyDescent="0.25">
      <c r="A271" t="s">
        <v>184</v>
      </c>
      <c r="B271" t="s">
        <v>15</v>
      </c>
      <c r="C271" t="s">
        <v>647</v>
      </c>
      <c r="D271" t="s">
        <v>17</v>
      </c>
      <c r="E271" t="s">
        <v>62</v>
      </c>
      <c r="F271" t="s">
        <v>12</v>
      </c>
      <c r="G271" t="s">
        <v>659</v>
      </c>
      <c r="H271" t="str">
        <f>VLOOKUP(E271,منظر!A:B,2,0)</f>
        <v>V003</v>
      </c>
      <c r="I271" t="str">
        <f>VLOOKUP(A271,استراتژی!A:B,2,0)</f>
        <v>S013</v>
      </c>
      <c r="J271" t="str">
        <f>VLOOKUP(D271,دپارتمان!A:B,2,0)</f>
        <v>D002</v>
      </c>
      <c r="K271" t="str">
        <f>VLOOKUP(F271,'واحد سنجش'!A:B,2,0)</f>
        <v>U001</v>
      </c>
    </row>
    <row r="272" spans="1:11" x14ac:dyDescent="0.25">
      <c r="A272" t="s">
        <v>184</v>
      </c>
      <c r="B272" t="s">
        <v>15</v>
      </c>
      <c r="C272" t="s">
        <v>648</v>
      </c>
      <c r="D272" t="s">
        <v>17</v>
      </c>
      <c r="E272" t="s">
        <v>62</v>
      </c>
      <c r="F272" t="s">
        <v>12</v>
      </c>
      <c r="G272" t="s">
        <v>660</v>
      </c>
      <c r="H272" t="str">
        <f>VLOOKUP(E272,منظر!A:B,2,0)</f>
        <v>V003</v>
      </c>
      <c r="I272" t="str">
        <f>VLOOKUP(A272,استراتژی!A:B,2,0)</f>
        <v>S013</v>
      </c>
      <c r="J272" t="str">
        <f>VLOOKUP(D272,دپارتمان!A:B,2,0)</f>
        <v>D002</v>
      </c>
      <c r="K272" t="str">
        <f>VLOOKUP(F272,'واحد سنجش'!A:B,2,0)</f>
        <v>U001</v>
      </c>
    </row>
    <row r="273" spans="1:11" x14ac:dyDescent="0.25">
      <c r="A273" t="s">
        <v>184</v>
      </c>
      <c r="B273" t="s">
        <v>15</v>
      </c>
      <c r="C273" t="s">
        <v>649</v>
      </c>
      <c r="D273" t="s">
        <v>17</v>
      </c>
      <c r="E273" t="s">
        <v>62</v>
      </c>
      <c r="F273" t="s">
        <v>79</v>
      </c>
      <c r="G273" t="s">
        <v>661</v>
      </c>
      <c r="H273" t="str">
        <f>VLOOKUP(E273,منظر!A:B,2,0)</f>
        <v>V003</v>
      </c>
      <c r="I273" t="str">
        <f>VLOOKUP(A273,استراتژی!A:B,2,0)</f>
        <v>S013</v>
      </c>
      <c r="J273" t="str">
        <f>VLOOKUP(D273,دپارتمان!A:B,2,0)</f>
        <v>D002</v>
      </c>
      <c r="K273" t="str">
        <f>VLOOKUP(F273,'واحد سنجش'!A:B,2,0)</f>
        <v>U006</v>
      </c>
    </row>
    <row r="274" spans="1:11" x14ac:dyDescent="0.25">
      <c r="A274" t="s">
        <v>184</v>
      </c>
      <c r="B274" t="s">
        <v>15</v>
      </c>
      <c r="C274" t="s">
        <v>650</v>
      </c>
      <c r="D274" t="s">
        <v>17</v>
      </c>
      <c r="E274" t="s">
        <v>62</v>
      </c>
      <c r="F274" t="s">
        <v>79</v>
      </c>
      <c r="G274" t="s">
        <v>662</v>
      </c>
      <c r="H274" t="str">
        <f>VLOOKUP(E274,منظر!A:B,2,0)</f>
        <v>V003</v>
      </c>
      <c r="I274" t="str">
        <f>VLOOKUP(A274,استراتژی!A:B,2,0)</f>
        <v>S013</v>
      </c>
      <c r="J274" t="str">
        <f>VLOOKUP(D274,دپارتمان!A:B,2,0)</f>
        <v>D002</v>
      </c>
      <c r="K274" t="str">
        <f>VLOOKUP(F274,'واحد سنجش'!A:B,2,0)</f>
        <v>U006</v>
      </c>
    </row>
    <row r="275" spans="1:11" x14ac:dyDescent="0.25">
      <c r="A275" t="s">
        <v>184</v>
      </c>
      <c r="B275" t="s">
        <v>15</v>
      </c>
      <c r="C275" t="s">
        <v>651</v>
      </c>
      <c r="D275" t="s">
        <v>17</v>
      </c>
      <c r="E275" t="s">
        <v>62</v>
      </c>
      <c r="F275" t="s">
        <v>79</v>
      </c>
      <c r="G275" t="s">
        <v>663</v>
      </c>
      <c r="H275" t="str">
        <f>VLOOKUP(E275,منظر!A:B,2,0)</f>
        <v>V003</v>
      </c>
      <c r="I275" t="str">
        <f>VLOOKUP(A275,استراتژی!A:B,2,0)</f>
        <v>S013</v>
      </c>
      <c r="J275" t="str">
        <f>VLOOKUP(D275,دپارتمان!A:B,2,0)</f>
        <v>D002</v>
      </c>
      <c r="K275" t="str">
        <f>VLOOKUP(F275,'واحد سنجش'!A:B,2,0)</f>
        <v>U006</v>
      </c>
    </row>
    <row r="276" spans="1:11" x14ac:dyDescent="0.25">
      <c r="A276" t="s">
        <v>184</v>
      </c>
      <c r="B276" t="s">
        <v>15</v>
      </c>
      <c r="C276" t="s">
        <v>652</v>
      </c>
      <c r="D276" t="s">
        <v>17</v>
      </c>
      <c r="E276" t="s">
        <v>62</v>
      </c>
      <c r="F276" t="s">
        <v>79</v>
      </c>
      <c r="G276" t="s">
        <v>664</v>
      </c>
      <c r="H276" t="str">
        <f>VLOOKUP(E276,منظر!A:B,2,0)</f>
        <v>V003</v>
      </c>
      <c r="I276" t="str">
        <f>VLOOKUP(A276,استراتژی!A:B,2,0)</f>
        <v>S013</v>
      </c>
      <c r="J276" t="str">
        <f>VLOOKUP(D276,دپارتمان!A:B,2,0)</f>
        <v>D002</v>
      </c>
      <c r="K276" t="str">
        <f>VLOOKUP(F276,'واحد سنجش'!A:B,2,0)</f>
        <v>U006</v>
      </c>
    </row>
    <row r="277" spans="1:11" x14ac:dyDescent="0.25">
      <c r="A277" t="s">
        <v>184</v>
      </c>
      <c r="B277" t="s">
        <v>15</v>
      </c>
      <c r="C277" t="s">
        <v>665</v>
      </c>
      <c r="D277" t="s">
        <v>17</v>
      </c>
      <c r="E277" t="s">
        <v>62</v>
      </c>
      <c r="F277" t="s">
        <v>79</v>
      </c>
      <c r="G277" t="s">
        <v>666</v>
      </c>
      <c r="H277" t="str">
        <f>VLOOKUP(E277,منظر!A:B,2,0)</f>
        <v>V003</v>
      </c>
      <c r="I277" t="str">
        <f>VLOOKUP(A277,استراتژی!A:B,2,0)</f>
        <v>S013</v>
      </c>
      <c r="J277" t="str">
        <f>VLOOKUP(D277,دپارتمان!A:B,2,0)</f>
        <v>D002</v>
      </c>
      <c r="K277" t="str">
        <f>VLOOKUP(F277,'واحد سنجش'!A:B,2,0)</f>
        <v>U006</v>
      </c>
    </row>
    <row r="278" spans="1:11" x14ac:dyDescent="0.25">
      <c r="A278" t="s">
        <v>184</v>
      </c>
      <c r="B278" t="s">
        <v>15</v>
      </c>
      <c r="C278" t="s">
        <v>667</v>
      </c>
      <c r="D278" t="s">
        <v>17</v>
      </c>
      <c r="E278" t="s">
        <v>62</v>
      </c>
      <c r="F278" t="s">
        <v>12</v>
      </c>
      <c r="G278" t="s">
        <v>668</v>
      </c>
      <c r="H278" t="str">
        <f>VLOOKUP(E278,منظر!A:B,2,0)</f>
        <v>V003</v>
      </c>
      <c r="I278" t="str">
        <f>VLOOKUP(A278,استراتژی!A:B,2,0)</f>
        <v>S013</v>
      </c>
      <c r="J278" t="str">
        <f>VLOOKUP(D278,دپارتمان!A:B,2,0)</f>
        <v>D002</v>
      </c>
      <c r="K278" t="str">
        <f>VLOOKUP(F278,'واحد سنجش'!A:B,2,0)</f>
        <v>U001</v>
      </c>
    </row>
    <row r="279" spans="1:11" x14ac:dyDescent="0.25">
      <c r="A279" t="s">
        <v>184</v>
      </c>
      <c r="B279" t="s">
        <v>15</v>
      </c>
      <c r="C279" t="s">
        <v>671</v>
      </c>
      <c r="D279" t="s">
        <v>17</v>
      </c>
      <c r="E279" t="s">
        <v>62</v>
      </c>
      <c r="F279" t="s">
        <v>12</v>
      </c>
      <c r="G279" t="s">
        <v>669</v>
      </c>
      <c r="H279" t="str">
        <f>VLOOKUP(E279,منظر!A:B,2,0)</f>
        <v>V003</v>
      </c>
      <c r="I279" t="str">
        <f>VLOOKUP(A279,استراتژی!A:B,2,0)</f>
        <v>S013</v>
      </c>
      <c r="J279" t="str">
        <f>VLOOKUP(D279,دپارتمان!A:B,2,0)</f>
        <v>D002</v>
      </c>
      <c r="K279" t="str">
        <f>VLOOKUP(F279,'واحد سنجش'!A:B,2,0)</f>
        <v>U001</v>
      </c>
    </row>
    <row r="280" spans="1:11" x14ac:dyDescent="0.25">
      <c r="A280" t="s">
        <v>184</v>
      </c>
      <c r="B280" t="s">
        <v>15</v>
      </c>
      <c r="C280" t="s">
        <v>672</v>
      </c>
      <c r="D280" t="s">
        <v>17</v>
      </c>
      <c r="E280" t="s">
        <v>62</v>
      </c>
      <c r="F280" t="s">
        <v>12</v>
      </c>
      <c r="G280" t="s">
        <v>670</v>
      </c>
      <c r="H280" t="str">
        <f>VLOOKUP(E280,منظر!A:B,2,0)</f>
        <v>V003</v>
      </c>
      <c r="I280" t="str">
        <f>VLOOKUP(A280,استراتژی!A:B,2,0)</f>
        <v>S013</v>
      </c>
      <c r="J280" t="str">
        <f>VLOOKUP(D280,دپارتمان!A:B,2,0)</f>
        <v>D002</v>
      </c>
      <c r="K280" t="str">
        <f>VLOOKUP(F280,'واحد سنجش'!A:B,2,0)</f>
        <v>U001</v>
      </c>
    </row>
    <row r="281" spans="1:11" x14ac:dyDescent="0.25">
      <c r="A281" t="s">
        <v>14</v>
      </c>
      <c r="B281" t="s">
        <v>15</v>
      </c>
      <c r="C281" t="s">
        <v>674</v>
      </c>
      <c r="D281" t="s">
        <v>122</v>
      </c>
      <c r="E281" t="s">
        <v>11</v>
      </c>
      <c r="F281" t="s">
        <v>336</v>
      </c>
      <c r="G281" t="s">
        <v>673</v>
      </c>
      <c r="H281" t="str">
        <f>VLOOKUP(E281,منظر!A:B,2,0)</f>
        <v>V001</v>
      </c>
      <c r="I281" t="str">
        <f>VLOOKUP(A281,استراتژی!A:B,2,0)</f>
        <v>S002</v>
      </c>
      <c r="J281" t="str">
        <f>VLOOKUP(D281,دپارتمان!A:B,2,0)</f>
        <v>D007</v>
      </c>
      <c r="K281" t="str">
        <f>VLOOKUP(F281,'واحد سنجش'!A:B,2,0)</f>
        <v>U010</v>
      </c>
    </row>
  </sheetData>
  <autoFilter ref="A1:G264" xr:uid="{E8F2798D-7464-4CF5-832D-B2881F413109}"/>
  <conditionalFormatting sqref="C1:C276 C282:C1048576">
    <cfRule type="duplicateValues" dxfId="11" priority="12"/>
  </conditionalFormatting>
  <conditionalFormatting sqref="G1:G276 G282:G1048576">
    <cfRule type="duplicateValues" dxfId="10" priority="11"/>
  </conditionalFormatting>
  <conditionalFormatting sqref="C277">
    <cfRule type="duplicateValues" dxfId="9" priority="10"/>
  </conditionalFormatting>
  <conditionalFormatting sqref="G277">
    <cfRule type="duplicateValues" dxfId="8" priority="9"/>
  </conditionalFormatting>
  <conditionalFormatting sqref="C278">
    <cfRule type="duplicateValues" dxfId="7" priority="8"/>
  </conditionalFormatting>
  <conditionalFormatting sqref="G278">
    <cfRule type="duplicateValues" dxfId="6" priority="7"/>
  </conditionalFormatting>
  <conditionalFormatting sqref="C279">
    <cfRule type="duplicateValues" dxfId="5" priority="6"/>
  </conditionalFormatting>
  <conditionalFormatting sqref="G279">
    <cfRule type="duplicateValues" dxfId="4" priority="5"/>
  </conditionalFormatting>
  <conditionalFormatting sqref="C280">
    <cfRule type="duplicateValues" dxfId="3" priority="4"/>
  </conditionalFormatting>
  <conditionalFormatting sqref="G280">
    <cfRule type="duplicateValues" dxfId="2" priority="3"/>
  </conditionalFormatting>
  <conditionalFormatting sqref="C281">
    <cfRule type="duplicateValues" dxfId="1" priority="2"/>
  </conditionalFormatting>
  <conditionalFormatting sqref="G28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0B91-A06E-41DB-93B4-B1E4ECD2D883}">
  <dimension ref="A1:B5"/>
  <sheetViews>
    <sheetView workbookViewId="0">
      <selection activeCell="B1" sqref="B1"/>
    </sheetView>
  </sheetViews>
  <sheetFormatPr defaultRowHeight="15" x14ac:dyDescent="0.25"/>
  <cols>
    <col min="1" max="1" width="11.7109375" customWidth="1"/>
  </cols>
  <sheetData>
    <row r="1" spans="1:2" x14ac:dyDescent="0.25">
      <c r="A1" t="s">
        <v>4</v>
      </c>
      <c r="B1" t="s">
        <v>622</v>
      </c>
    </row>
    <row r="2" spans="1:2" x14ac:dyDescent="0.25">
      <c r="A2" t="s">
        <v>11</v>
      </c>
      <c r="B2" t="s">
        <v>623</v>
      </c>
    </row>
    <row r="3" spans="1:2" x14ac:dyDescent="0.25">
      <c r="A3" t="s">
        <v>23</v>
      </c>
      <c r="B3" t="s">
        <v>624</v>
      </c>
    </row>
    <row r="4" spans="1:2" x14ac:dyDescent="0.25">
      <c r="A4" t="s">
        <v>62</v>
      </c>
      <c r="B4" t="s">
        <v>625</v>
      </c>
    </row>
    <row r="5" spans="1:2" x14ac:dyDescent="0.25">
      <c r="A5" t="s">
        <v>107</v>
      </c>
      <c r="B5" t="s">
        <v>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FFBD2-EBA5-46AC-9BE5-E80CC4E79516}">
  <dimension ref="A1:B19"/>
  <sheetViews>
    <sheetView workbookViewId="0">
      <selection activeCell="B1" sqref="B1"/>
    </sheetView>
  </sheetViews>
  <sheetFormatPr defaultRowHeight="15" x14ac:dyDescent="0.25"/>
  <cols>
    <col min="1" max="1" width="28.7109375" bestFit="1" customWidth="1"/>
  </cols>
  <sheetData>
    <row r="1" spans="1:2" x14ac:dyDescent="0.25">
      <c r="A1" t="s">
        <v>0</v>
      </c>
      <c r="B1" t="s">
        <v>603</v>
      </c>
    </row>
    <row r="2" spans="1:2" x14ac:dyDescent="0.25">
      <c r="A2" t="s">
        <v>7</v>
      </c>
      <c r="B2" t="s">
        <v>585</v>
      </c>
    </row>
    <row r="3" spans="1:2" x14ac:dyDescent="0.25">
      <c r="A3" t="s">
        <v>14</v>
      </c>
      <c r="B3" t="s">
        <v>586</v>
      </c>
    </row>
    <row r="4" spans="1:2" x14ac:dyDescent="0.25">
      <c r="A4" t="s">
        <v>20</v>
      </c>
      <c r="B4" t="s">
        <v>587</v>
      </c>
    </row>
    <row r="5" spans="1:2" x14ac:dyDescent="0.25">
      <c r="A5" t="s">
        <v>25</v>
      </c>
      <c r="B5" t="s">
        <v>588</v>
      </c>
    </row>
    <row r="6" spans="1:2" x14ac:dyDescent="0.25">
      <c r="A6" t="s">
        <v>34</v>
      </c>
      <c r="B6" t="s">
        <v>589</v>
      </c>
    </row>
    <row r="7" spans="1:2" x14ac:dyDescent="0.25">
      <c r="A7" t="s">
        <v>59</v>
      </c>
      <c r="B7" t="s">
        <v>590</v>
      </c>
    </row>
    <row r="8" spans="1:2" x14ac:dyDescent="0.25">
      <c r="A8" t="s">
        <v>105</v>
      </c>
      <c r="B8" t="s">
        <v>591</v>
      </c>
    </row>
    <row r="9" spans="1:2" x14ac:dyDescent="0.25">
      <c r="A9" t="s">
        <v>114</v>
      </c>
      <c r="B9" t="s">
        <v>592</v>
      </c>
    </row>
    <row r="10" spans="1:2" x14ac:dyDescent="0.25">
      <c r="A10" t="s">
        <v>118</v>
      </c>
      <c r="B10" t="s">
        <v>593</v>
      </c>
    </row>
    <row r="11" spans="1:2" x14ac:dyDescent="0.25">
      <c r="A11" t="s">
        <v>167</v>
      </c>
      <c r="B11" t="s">
        <v>594</v>
      </c>
    </row>
    <row r="12" spans="1:2" x14ac:dyDescent="0.25">
      <c r="A12" t="s">
        <v>174</v>
      </c>
      <c r="B12" t="s">
        <v>595</v>
      </c>
    </row>
    <row r="13" spans="1:2" x14ac:dyDescent="0.25">
      <c r="A13" t="s">
        <v>181</v>
      </c>
      <c r="B13" t="s">
        <v>596</v>
      </c>
    </row>
    <row r="14" spans="1:2" x14ac:dyDescent="0.25">
      <c r="A14" t="s">
        <v>184</v>
      </c>
      <c r="B14" t="s">
        <v>597</v>
      </c>
    </row>
    <row r="15" spans="1:2" x14ac:dyDescent="0.25">
      <c r="A15" t="s">
        <v>245</v>
      </c>
      <c r="B15" t="s">
        <v>598</v>
      </c>
    </row>
    <row r="16" spans="1:2" x14ac:dyDescent="0.25">
      <c r="A16" t="s">
        <v>254</v>
      </c>
      <c r="B16" t="s">
        <v>599</v>
      </c>
    </row>
    <row r="17" spans="1:2" x14ac:dyDescent="0.25">
      <c r="A17" t="s">
        <v>261</v>
      </c>
      <c r="B17" t="s">
        <v>600</v>
      </c>
    </row>
    <row r="18" spans="1:2" x14ac:dyDescent="0.25">
      <c r="A18" t="s">
        <v>420</v>
      </c>
      <c r="B18" t="s">
        <v>601</v>
      </c>
    </row>
    <row r="19" spans="1:2" x14ac:dyDescent="0.25">
      <c r="A19" t="s">
        <v>527</v>
      </c>
      <c r="B19" t="s">
        <v>602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3A776-0E00-441B-B217-B61DF545A356}">
  <dimension ref="A1:B18"/>
  <sheetViews>
    <sheetView workbookViewId="0">
      <selection activeCell="B1" sqref="B1"/>
    </sheetView>
  </sheetViews>
  <sheetFormatPr defaultRowHeight="15" x14ac:dyDescent="0.25"/>
  <cols>
    <col min="1" max="1" width="19.140625" bestFit="1" customWidth="1"/>
    <col min="2" max="2" width="12.28515625" bestFit="1" customWidth="1"/>
  </cols>
  <sheetData>
    <row r="1" spans="1:2" x14ac:dyDescent="0.25">
      <c r="A1" t="s">
        <v>3</v>
      </c>
      <c r="B1" t="s">
        <v>604</v>
      </c>
    </row>
    <row r="2" spans="1:2" x14ac:dyDescent="0.25">
      <c r="A2" t="s">
        <v>10</v>
      </c>
      <c r="B2" t="s">
        <v>605</v>
      </c>
    </row>
    <row r="3" spans="1:2" x14ac:dyDescent="0.25">
      <c r="A3" t="s">
        <v>17</v>
      </c>
      <c r="B3" t="s">
        <v>606</v>
      </c>
    </row>
    <row r="4" spans="1:2" x14ac:dyDescent="0.25">
      <c r="A4" t="s">
        <v>22</v>
      </c>
      <c r="B4" t="s">
        <v>607</v>
      </c>
    </row>
    <row r="5" spans="1:2" x14ac:dyDescent="0.25">
      <c r="A5" t="s">
        <v>61</v>
      </c>
      <c r="B5" t="s">
        <v>608</v>
      </c>
    </row>
    <row r="6" spans="1:2" x14ac:dyDescent="0.25">
      <c r="A6" t="s">
        <v>107</v>
      </c>
      <c r="B6" t="s">
        <v>609</v>
      </c>
    </row>
    <row r="7" spans="1:2" x14ac:dyDescent="0.25">
      <c r="A7" t="s">
        <v>110</v>
      </c>
      <c r="B7" t="s">
        <v>610</v>
      </c>
    </row>
    <row r="8" spans="1:2" x14ac:dyDescent="0.25">
      <c r="A8" t="s">
        <v>122</v>
      </c>
      <c r="B8" t="s">
        <v>611</v>
      </c>
    </row>
    <row r="9" spans="1:2" x14ac:dyDescent="0.25">
      <c r="A9" t="s">
        <v>127</v>
      </c>
      <c r="B9" t="s">
        <v>612</v>
      </c>
    </row>
    <row r="10" spans="1:2" x14ac:dyDescent="0.25">
      <c r="A10" t="s">
        <v>265</v>
      </c>
      <c r="B10" t="s">
        <v>613</v>
      </c>
    </row>
    <row r="11" spans="1:2" x14ac:dyDescent="0.25">
      <c r="A11" t="s">
        <v>268</v>
      </c>
      <c r="B11" t="s">
        <v>614</v>
      </c>
    </row>
    <row r="12" spans="1:2" x14ac:dyDescent="0.25">
      <c r="A12" t="s">
        <v>313</v>
      </c>
      <c r="B12" t="s">
        <v>615</v>
      </c>
    </row>
    <row r="13" spans="1:2" x14ac:dyDescent="0.25">
      <c r="A13" t="s">
        <v>322</v>
      </c>
      <c r="B13" t="s">
        <v>616</v>
      </c>
    </row>
    <row r="14" spans="1:2" x14ac:dyDescent="0.25">
      <c r="A14" t="s">
        <v>331</v>
      </c>
      <c r="B14" t="s">
        <v>617</v>
      </c>
    </row>
    <row r="15" spans="1:2" x14ac:dyDescent="0.25">
      <c r="A15" t="s">
        <v>392</v>
      </c>
      <c r="B15" t="s">
        <v>618</v>
      </c>
    </row>
    <row r="16" spans="1:2" x14ac:dyDescent="0.25">
      <c r="A16" t="s">
        <v>442</v>
      </c>
      <c r="B16" t="s">
        <v>619</v>
      </c>
    </row>
    <row r="17" spans="1:2" x14ac:dyDescent="0.25">
      <c r="A17" t="s">
        <v>475</v>
      </c>
      <c r="B17" t="s">
        <v>620</v>
      </c>
    </row>
    <row r="18" spans="1:2" x14ac:dyDescent="0.25">
      <c r="A18" t="s">
        <v>563</v>
      </c>
      <c r="B18" t="s">
        <v>621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4A30D-E8DD-478F-A537-6ACCF990DD73}">
  <dimension ref="A1:B14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5</v>
      </c>
      <c r="B1" t="s">
        <v>627</v>
      </c>
    </row>
    <row r="2" spans="1:2" x14ac:dyDescent="0.25">
      <c r="A2" t="s">
        <v>12</v>
      </c>
      <c r="B2" t="s">
        <v>628</v>
      </c>
    </row>
    <row r="3" spans="1:2" x14ac:dyDescent="0.25">
      <c r="A3" t="s">
        <v>18</v>
      </c>
      <c r="B3" t="s">
        <v>629</v>
      </c>
    </row>
    <row r="4" spans="1:2" x14ac:dyDescent="0.25">
      <c r="A4" t="s">
        <v>36</v>
      </c>
      <c r="B4" t="s">
        <v>630</v>
      </c>
    </row>
    <row r="5" spans="1:2" x14ac:dyDescent="0.25">
      <c r="A5" t="s">
        <v>51</v>
      </c>
      <c r="B5" t="s">
        <v>631</v>
      </c>
    </row>
    <row r="6" spans="1:2" x14ac:dyDescent="0.25">
      <c r="A6" t="s">
        <v>55</v>
      </c>
      <c r="B6" t="s">
        <v>632</v>
      </c>
    </row>
    <row r="7" spans="1:2" x14ac:dyDescent="0.25">
      <c r="A7" t="s">
        <v>79</v>
      </c>
      <c r="B7" t="s">
        <v>633</v>
      </c>
    </row>
    <row r="8" spans="1:2" x14ac:dyDescent="0.25">
      <c r="A8" t="s">
        <v>116</v>
      </c>
      <c r="B8" t="s">
        <v>634</v>
      </c>
    </row>
    <row r="9" spans="1:2" x14ac:dyDescent="0.25">
      <c r="A9" t="s">
        <v>128</v>
      </c>
      <c r="B9" t="s">
        <v>635</v>
      </c>
    </row>
    <row r="10" spans="1:2" x14ac:dyDescent="0.25">
      <c r="A10" t="s">
        <v>153</v>
      </c>
      <c r="B10" t="s">
        <v>636</v>
      </c>
    </row>
    <row r="11" spans="1:2" x14ac:dyDescent="0.25">
      <c r="A11" t="s">
        <v>336</v>
      </c>
      <c r="B11" t="s">
        <v>637</v>
      </c>
    </row>
    <row r="12" spans="1:2" x14ac:dyDescent="0.25">
      <c r="A12" t="s">
        <v>407</v>
      </c>
      <c r="B12" t="s">
        <v>638</v>
      </c>
    </row>
    <row r="13" spans="1:2" x14ac:dyDescent="0.25">
      <c r="A13" t="s">
        <v>414</v>
      </c>
      <c r="B13" t="s">
        <v>639</v>
      </c>
    </row>
    <row r="14" spans="1:2" x14ac:dyDescent="0.25">
      <c r="A14" t="s">
        <v>501</v>
      </c>
      <c r="B14" t="s">
        <v>640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منظر</vt:lpstr>
      <vt:lpstr>استراتژی</vt:lpstr>
      <vt:lpstr>دپارتمان</vt:lpstr>
      <vt:lpstr>واحد سنجش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Jahangiri, Zahra (OK)</dc:creator>
  <cp:lastModifiedBy>hadi sayyar</cp:lastModifiedBy>
  <dcterms:created xsi:type="dcterms:W3CDTF">2024-07-27T12:41:17Z</dcterms:created>
  <dcterms:modified xsi:type="dcterms:W3CDTF">2025-07-27T07:29:04Z</dcterms:modified>
</cp:coreProperties>
</file>