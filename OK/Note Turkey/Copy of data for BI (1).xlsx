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D:\Projects\"/>
    </mc:Choice>
  </mc:AlternateContent>
  <xr:revisionPtr revIDLastSave="0" documentId="8_{40F3CF6C-CF55-44F7-A768-F2115F29BE8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Sheet1!$A$1:$U$47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7" i="1" l="1"/>
  <c r="T47" i="1"/>
  <c r="U46" i="1"/>
  <c r="T46" i="1"/>
  <c r="U45" i="1"/>
  <c r="T45" i="1"/>
  <c r="U44" i="1"/>
  <c r="T44" i="1"/>
  <c r="U43" i="1"/>
  <c r="T43" i="1"/>
  <c r="U42" i="1"/>
  <c r="T42" i="1"/>
  <c r="U41" i="1"/>
  <c r="T41" i="1"/>
  <c r="U40" i="1"/>
  <c r="T40" i="1"/>
  <c r="U39" i="1"/>
  <c r="T39" i="1"/>
  <c r="U38" i="1"/>
  <c r="T38" i="1"/>
  <c r="U37" i="1"/>
  <c r="T37" i="1"/>
  <c r="U36" i="1"/>
  <c r="T36" i="1"/>
  <c r="U35" i="1"/>
  <c r="T35" i="1"/>
  <c r="U34" i="1"/>
  <c r="T34" i="1"/>
  <c r="U33" i="1"/>
  <c r="T33" i="1"/>
  <c r="U32" i="1"/>
  <c r="T32" i="1"/>
  <c r="U31" i="1"/>
  <c r="T31" i="1"/>
  <c r="U30" i="1"/>
  <c r="T30" i="1"/>
  <c r="U29" i="1"/>
  <c r="T29" i="1"/>
  <c r="U28" i="1"/>
  <c r="T28" i="1"/>
  <c r="U27" i="1"/>
  <c r="T27" i="1"/>
  <c r="U26" i="1"/>
  <c r="T26" i="1"/>
  <c r="U25" i="1"/>
  <c r="T25" i="1"/>
  <c r="U24" i="1"/>
  <c r="T24" i="1"/>
  <c r="U22" i="1"/>
  <c r="T22" i="1"/>
  <c r="U21" i="1"/>
  <c r="T21" i="1"/>
  <c r="U20" i="1"/>
  <c r="T20" i="1"/>
  <c r="U19" i="1"/>
  <c r="T19" i="1"/>
  <c r="U18" i="1"/>
  <c r="T18" i="1"/>
  <c r="U17" i="1"/>
  <c r="T17" i="1"/>
  <c r="U16" i="1"/>
  <c r="T16" i="1"/>
  <c r="U15" i="1"/>
  <c r="T15" i="1"/>
  <c r="U14" i="1"/>
  <c r="T14" i="1"/>
  <c r="U13" i="1"/>
  <c r="T13" i="1"/>
  <c r="U12" i="1"/>
  <c r="T12" i="1"/>
  <c r="U11" i="1"/>
  <c r="T11" i="1"/>
  <c r="U10" i="1"/>
  <c r="T10" i="1"/>
  <c r="U9" i="1"/>
  <c r="T9" i="1"/>
  <c r="U8" i="1"/>
  <c r="T8" i="1"/>
  <c r="U7" i="1"/>
  <c r="T7" i="1"/>
  <c r="U6" i="1"/>
  <c r="T6" i="1"/>
  <c r="U5" i="1"/>
  <c r="T5" i="1"/>
  <c r="U4" i="1"/>
  <c r="T4" i="1"/>
  <c r="U3" i="1"/>
  <c r="T3" i="1"/>
  <c r="U2" i="1"/>
  <c r="T2" i="1"/>
</calcChain>
</file>

<file path=xl/sharedStrings.xml><?xml version="1.0" encoding="utf-8"?>
<sst xmlns="http://schemas.openxmlformats.org/spreadsheetml/2006/main" count="343" uniqueCount="185">
  <si>
    <t>Stok Kodu</t>
  </si>
  <si>
    <t>Name</t>
  </si>
  <si>
    <t>Commericial Name</t>
  </si>
  <si>
    <t>Category</t>
  </si>
  <si>
    <t>Scale</t>
  </si>
  <si>
    <t>Responsible</t>
  </si>
  <si>
    <t>Supplier</t>
  </si>
  <si>
    <t>2019 Unit Price</t>
  </si>
  <si>
    <t>2020 Unit Price</t>
  </si>
  <si>
    <t>2021 Unit Price</t>
  </si>
  <si>
    <t>2022 Unit Price</t>
  </si>
  <si>
    <t>2023 Unit Price Final</t>
  </si>
  <si>
    <t>2023 Real Unit Price</t>
  </si>
  <si>
    <t>2022 Total Quantity</t>
  </si>
  <si>
    <t>2022 Total USD</t>
  </si>
  <si>
    <t>2023 USD Plan</t>
  </si>
  <si>
    <t>2023 Real Purchase Quantity</t>
  </si>
  <si>
    <t>2023 Real Purchase USD</t>
  </si>
  <si>
    <t>Remained Quantity</t>
  </si>
  <si>
    <t>Remained USD</t>
  </si>
  <si>
    <t xml:space="preserve"> 0001.220401399</t>
  </si>
  <si>
    <t>RS1601</t>
  </si>
  <si>
    <t>4462881-ALTONA/FR. NO:1 R&amp;D MOD FORTE N.A.L(Alerjen Free)</t>
  </si>
  <si>
    <t>MATERIAL</t>
  </si>
  <si>
    <t>kg</t>
  </si>
  <si>
    <t>Nermin</t>
  </si>
  <si>
    <t>GÜLÇİÇEK KİMYA</t>
  </si>
  <si>
    <t xml:space="preserve"> 0001.40464</t>
  </si>
  <si>
    <t>RS671</t>
  </si>
  <si>
    <t>Euxyl PE 910</t>
  </si>
  <si>
    <t>BRENNTAG KİMYA TİCARET LTD.ŞTİ.</t>
  </si>
  <si>
    <t xml:space="preserve"> 0001.30077</t>
  </si>
  <si>
    <t>PR577</t>
  </si>
  <si>
    <t>BHT(food grade)</t>
  </si>
  <si>
    <t>YILMAZ KİMYA İNŞAAT SANAYİ VE TİCARET ANONİM ŞİRKETİ</t>
  </si>
  <si>
    <t xml:space="preserve"> 0001.40225</t>
  </si>
  <si>
    <t>RS432</t>
  </si>
  <si>
    <t>Vitamin E acetate</t>
  </si>
  <si>
    <t>Yagmur</t>
  </si>
  <si>
    <t>VESER KİMYEVİ MADDELER A.Ş.</t>
  </si>
  <si>
    <t xml:space="preserve"> 0001.30407</t>
  </si>
  <si>
    <t>PR902</t>
  </si>
  <si>
    <t>KF-6017/ BRB6340</t>
  </si>
  <si>
    <t>AZELİS TR KİMYA END. ÜR. İTH. İHR. TİC. VE SAN. A.Ş.</t>
  </si>
  <si>
    <t xml:space="preserve"> 0001.40590</t>
  </si>
  <si>
    <t>RS797</t>
  </si>
  <si>
    <t>BRB 1072-S</t>
  </si>
  <si>
    <t xml:space="preserve"> 0001.40547</t>
  </si>
  <si>
    <t>RS754</t>
  </si>
  <si>
    <t>BRB CM50 / SF1202</t>
  </si>
  <si>
    <t xml:space="preserve"> 0001.30394</t>
  </si>
  <si>
    <t>PR889</t>
  </si>
  <si>
    <t>BENTONE 38 VCG</t>
  </si>
  <si>
    <t>IMCD</t>
  </si>
  <si>
    <t xml:space="preserve"> 0001.30361</t>
  </si>
  <si>
    <t>PR856</t>
  </si>
  <si>
    <t>SUN-I-OR</t>
  </si>
  <si>
    <t>OKTRADE KİMYA SANAYİ VE TİCARET ANONİM ŞİRKETİ</t>
  </si>
  <si>
    <t xml:space="preserve"> 0001.220401017</t>
  </si>
  <si>
    <t>RS1224</t>
  </si>
  <si>
    <t>ESCALOL 557/AakoSun OMC</t>
  </si>
  <si>
    <t>EIGENMAN&amp;VERONELLI</t>
  </si>
  <si>
    <t xml:space="preserve"> 0001.30406</t>
  </si>
  <si>
    <t>PR901</t>
  </si>
  <si>
    <t xml:space="preserve">KSG-15 / BRB SG117 / SFE 839/ KSG-15AP    </t>
  </si>
  <si>
    <t xml:space="preserve"> 0001.40395</t>
  </si>
  <si>
    <t>RS602</t>
  </si>
  <si>
    <t>EVOIL ALMOND\SWEET ALMOND OIL</t>
  </si>
  <si>
    <t>SAFIC ALCAN KİMYA SANAYİ VE TİCARET A.Ş.</t>
  </si>
  <si>
    <t xml:space="preserve"> 0001.30432</t>
  </si>
  <si>
    <t>PR927</t>
  </si>
  <si>
    <t>SUNTITAN -AS</t>
  </si>
  <si>
    <t xml:space="preserve"> 0001.30431</t>
  </si>
  <si>
    <t>PR926</t>
  </si>
  <si>
    <t>SANAYİ  TUZU</t>
  </si>
  <si>
    <t>TOLGA TUZ NAK.MAK.SAN.TİC.LTD.ŞTİ</t>
  </si>
  <si>
    <t xml:space="preserve"> 0001.40658</t>
  </si>
  <si>
    <t>RS865</t>
  </si>
  <si>
    <t>CELL DETOX</t>
  </si>
  <si>
    <t>Orhan</t>
  </si>
  <si>
    <t>SAS SILAB</t>
  </si>
  <si>
    <t xml:space="preserve"> 0001.30357</t>
  </si>
  <si>
    <t>PR852</t>
  </si>
  <si>
    <t>SUNPU-170 / PU-G (HD)</t>
  </si>
  <si>
    <t xml:space="preserve"> 0001.30360</t>
  </si>
  <si>
    <t>PR855</t>
  </si>
  <si>
    <t>SUN-I-OY</t>
  </si>
  <si>
    <t xml:space="preserve"> 0001.30412</t>
  </si>
  <si>
    <t>PR907</t>
  </si>
  <si>
    <t>SUNIOB- AS</t>
  </si>
  <si>
    <t xml:space="preserve"> 0001.40533</t>
  </si>
  <si>
    <t>RS740</t>
  </si>
  <si>
    <t>Butylen Glycol -1.3</t>
  </si>
  <si>
    <t>ARERKO KİMYA SAN VE TİC AŞ</t>
  </si>
  <si>
    <t xml:space="preserve"> 0001.40546</t>
  </si>
  <si>
    <t>RS753</t>
  </si>
  <si>
    <t>BRB  DM 100</t>
  </si>
  <si>
    <t>LATRO</t>
  </si>
  <si>
    <t xml:space="preserve"> 0001.40588</t>
  </si>
  <si>
    <t>RS795</t>
  </si>
  <si>
    <t xml:space="preserve">FARMAL MS 5110/COVAFLUID AMD/DRY FLO PC/FLOWSTA ASO </t>
  </si>
  <si>
    <t xml:space="preserve"> 0001.40054</t>
  </si>
  <si>
    <t>RS261</t>
  </si>
  <si>
    <t>Super fine alcohol</t>
  </si>
  <si>
    <t>LT</t>
  </si>
  <si>
    <t>ÇAKIR KİMYA LABOR.ÜRÜN.İMALAT.SAN.TİC.LTD.ŞTİ.</t>
  </si>
  <si>
    <t xml:space="preserve"> 0001.40659</t>
  </si>
  <si>
    <t>RS866</t>
  </si>
  <si>
    <t>HE CEDRE ATLSS BOIS-MAR</t>
  </si>
  <si>
    <t>A.T.S ADVANCED TECHNOLOGY SUPPLIES TİC.A.Ş.</t>
  </si>
  <si>
    <t xml:space="preserve"> 0001.40913</t>
  </si>
  <si>
    <t>RS1119</t>
  </si>
  <si>
    <t>PG REINE DES PRES Sommité fleurie 2% PrF</t>
  </si>
  <si>
    <t xml:space="preserve"> 0001.40679</t>
  </si>
  <si>
    <t>RS886</t>
  </si>
  <si>
    <t>MACADEMIA OIL /REFİNED</t>
  </si>
  <si>
    <t>NOVODİST DIŞ TİC. LTD.ŞTİ.</t>
  </si>
  <si>
    <t xml:space="preserve"> 0001.220100388</t>
  </si>
  <si>
    <t>AC487</t>
  </si>
  <si>
    <t>AC MOISTURE PLEX ADVANCED PF</t>
  </si>
  <si>
    <t xml:space="preserve"> 0001.40082</t>
  </si>
  <si>
    <t>RS289</t>
  </si>
  <si>
    <t>Silicon DC 556-DOW 556</t>
  </si>
  <si>
    <t>UNİVAR SOLUTİONS KİMYA SAN. LTD. ŞTİ.</t>
  </si>
  <si>
    <t xml:space="preserve"> 0001.40563</t>
  </si>
  <si>
    <t>RS770</t>
  </si>
  <si>
    <t xml:space="preserve">LINCOL ISN/DUB VCI 18 </t>
  </si>
  <si>
    <t xml:space="preserve"> 0001.30348</t>
  </si>
  <si>
    <t>PR843</t>
  </si>
  <si>
    <t xml:space="preserve">MEARL MICA SWA/Sunmica LL / MICA E-LL  </t>
  </si>
  <si>
    <t>HD ULUSLARARASI TİC.VE AMB.SAN.LTD.ŞTİ.</t>
  </si>
  <si>
    <t xml:space="preserve"> 0001.30358</t>
  </si>
  <si>
    <t>PR853</t>
  </si>
  <si>
    <t>SUNTALC-LL</t>
  </si>
  <si>
    <t xml:space="preserve"> 0001.40550</t>
  </si>
  <si>
    <t>RS757</t>
  </si>
  <si>
    <t xml:space="preserve">TEGOLON 12 10-Orgasol 2002 Nat/ CMC NYLON12  </t>
  </si>
  <si>
    <t xml:space="preserve"> 0001.40662</t>
  </si>
  <si>
    <t>RS869</t>
  </si>
  <si>
    <t>Argan Oil Virgin Organic</t>
  </si>
  <si>
    <t xml:space="preserve"> 0001.30359</t>
  </si>
  <si>
    <t>PR854</t>
  </si>
  <si>
    <t>SUNTITAN-LL</t>
  </si>
  <si>
    <t xml:space="preserve"> 0001.30356</t>
  </si>
  <si>
    <t>PR851</t>
  </si>
  <si>
    <t>SUNPMMA-S</t>
  </si>
  <si>
    <t xml:space="preserve"> 0001.30180</t>
  </si>
  <si>
    <t>PR680</t>
  </si>
  <si>
    <t>Unipure Red LC-321</t>
  </si>
  <si>
    <t>SENSIENT COSMETIC TECHNOLOGIES</t>
  </si>
  <si>
    <t xml:space="preserve"> 0001.30064</t>
  </si>
  <si>
    <t>PR564</t>
  </si>
  <si>
    <t>UNIPURE RED LC 303</t>
  </si>
  <si>
    <t xml:space="preserve"> 0001.30528</t>
  </si>
  <si>
    <t>PR1020</t>
  </si>
  <si>
    <t>Timica® Terra Yellow MN 4502</t>
  </si>
  <si>
    <t>RAVAGO CHEMICALS TURKEY KİMYASAL HAMMADDELER SATIŞ VE PAZARLAMA A.Ş.</t>
  </si>
  <si>
    <t xml:space="preserve"> 0001.30524</t>
  </si>
  <si>
    <t>PR1016</t>
  </si>
  <si>
    <t>Timica® Terra Black MN4498</t>
  </si>
  <si>
    <t xml:space="preserve"> 0001.30527</t>
  </si>
  <si>
    <t>PR1019</t>
  </si>
  <si>
    <t>Timica® Terra White MN4501</t>
  </si>
  <si>
    <t xml:space="preserve"> 0001.30526</t>
  </si>
  <si>
    <t>PR1018</t>
  </si>
  <si>
    <t>Timica® Terra Red MN4506</t>
  </si>
  <si>
    <t xml:space="preserve"> 0001.30050</t>
  </si>
  <si>
    <t>PR550</t>
  </si>
  <si>
    <t>UNIPURE ORANGE LC 226</t>
  </si>
  <si>
    <t xml:space="preserve"> 0001.30056</t>
  </si>
  <si>
    <t>PR556</t>
  </si>
  <si>
    <t>Unipure Brown LC 881</t>
  </si>
  <si>
    <t xml:space="preserve"> 0001.40965</t>
  </si>
  <si>
    <t>RS1171</t>
  </si>
  <si>
    <t>OXYNEX K LIQUID</t>
  </si>
  <si>
    <t xml:space="preserve"> 0001.30057</t>
  </si>
  <si>
    <t>PR557</t>
  </si>
  <si>
    <t>UNIPURE BROWN LC 887</t>
  </si>
  <si>
    <t xml:space="preserve"> 0001.30051</t>
  </si>
  <si>
    <t>PR551</t>
  </si>
  <si>
    <t>UNIPURE RED LC 304</t>
  </si>
  <si>
    <t xml:space="preserve"> 0001.30371</t>
  </si>
  <si>
    <t>PR866</t>
  </si>
  <si>
    <t>MICA BLACK</t>
  </si>
  <si>
    <t>2023 Quantity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</si>
</sst>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#,##0.0"/>
  </numFmts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22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2" borderId="3" xfId="1" applyFont="1" applyFill="1" applyBorder="1" applyAlignment="1" applyProtection="1">
      <alignment horizontal="center" vertical="center"/>
      <protection locked="0"/>
    </xf>
    <xf numFmtId="0" fontId="2" fillId="2" borderId="4" xfId="1" applyFont="1" applyFill="1" applyBorder="1" applyAlignment="1" applyProtection="1">
      <alignment horizontal="center" vertical="center"/>
      <protection locked="0"/>
    </xf>
    <xf numFmtId="0" fontId="0" fillId="2" borderId="4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3" borderId="2" xfId="1" applyFont="1" applyFill="1" applyBorder="1" applyAlignment="1" applyProtection="1">
      <alignment horizontal="center" vertical="center"/>
      <protection locked="0"/>
    </xf>
    <xf numFmtId="4" fontId="0" fillId="0" borderId="4" xfId="0" applyNumberFormat="1" applyBorder="1" applyAlignment="1">
      <alignment horizontal="center" vertical="center"/>
    </xf>
    <xf numFmtId="4" fontId="0" fillId="0" borderId="4" xfId="0" applyNumberFormat="1" applyBorder="1" applyAlignment="1">
      <alignment horizontal="center"/>
    </xf>
    <xf numFmtId="165" fontId="0" fillId="0" borderId="4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3" fillId="4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164" fontId="0" fillId="4" borderId="2" xfId="0" applyNumberFormat="1" applyFill="1" applyBorder="1" applyAlignment="1">
      <alignment horizontal="center" vertical="center" wrapText="1"/>
    </xf>
    <xf numFmtId="164" fontId="0" fillId="4" borderId="5" xfId="0" applyNumberFormat="1" applyFill="1" applyBorder="1" applyAlignment="1">
      <alignment horizontal="center" vertical="center" wrapText="1"/>
    </xf>
    <xf numFmtId="164" fontId="0" fillId="0" borderId="6" xfId="0" applyNumberFormat="1" applyBorder="1" applyAlignment="1">
      <alignment horizontal="center"/>
    </xf>
    <xf numFmtId="0" fontId="2" fillId="2" borderId="7" xfId="1" applyFont="1" applyFill="1" applyBorder="1" applyAlignment="1" applyProtection="1">
      <alignment horizontal="center" vertical="center"/>
      <protection locked="0"/>
    </xf>
    <xf numFmtId="0" fontId="2" fillId="2" borderId="8" xfId="1" applyFont="1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4" fontId="0" fillId="0" borderId="8" xfId="0" applyNumberFormat="1" applyBorder="1" applyAlignment="1">
      <alignment horizontal="center"/>
    </xf>
    <xf numFmtId="165" fontId="0" fillId="0" borderId="8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164" fontId="0" fillId="0" borderId="9" xfId="0" applyNumberFormat="1" applyBorder="1" applyAlignment="1">
      <alignment horizontal="center"/>
    </xf>
  </cellXfs>
  <cellStyles count="2">
    <cellStyle name="Normal" xfId="0" builtinId="0"/>
    <cellStyle name="Normal 3" xfId="1" xr:uid="{4BBEF99A-EC35-4679-9B2F-D9DE0B8EF0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7"/>
  <sheetViews>
    <sheetView showGridLines="0" tabSelected="1" workbookViewId="0">
      <pane xSplit="1" ySplit="1" topLeftCell="N14" activePane="bottomRight" state="frozen"/>
      <selection pane="topRight" activeCell="B1" sqref="B1"/>
      <selection pane="bottomLeft" activeCell="A2" sqref="A2"/>
      <selection pane="bottomRight" activeCell="T16" sqref="T16"/>
    </sheetView>
  </sheetViews>
  <sheetFormatPr defaultRowHeight="15" x14ac:dyDescent="0.25"/>
  <cols>
    <col min="1" max="1" width="11.7109375" bestFit="1" customWidth="1"/>
    <col min="2" max="2" width="5.85546875" bestFit="1" customWidth="1"/>
    <col min="3" max="3" width="46.7109375" bestFit="1" customWidth="1"/>
    <col min="4" max="4" width="10.5703125" customWidth="1"/>
    <col min="5" max="5" width="4.42578125" bestFit="1" customWidth="1"/>
    <col min="6" max="6" width="8.7109375" bestFit="1" customWidth="1"/>
    <col min="7" max="7" width="70.28515625" bestFit="1" customWidth="1"/>
    <col min="8" max="11" width="11.5703125" style="4" bestFit="1" customWidth="1"/>
    <col min="12" max="12" width="12.28515625" style="4" bestFit="1" customWidth="1"/>
    <col min="13" max="13" width="11.85546875" style="4" bestFit="1" customWidth="1"/>
    <col min="14" max="14" width="12.42578125" style="4" bestFit="1" customWidth="1"/>
    <col min="15" max="15" width="11" style="4" bestFit="1" customWidth="1"/>
    <col min="16" max="16" width="12.42578125" style="4" bestFit="1" customWidth="1"/>
    <col min="17" max="17" width="13.28515625" style="4" bestFit="1" customWidth="1"/>
    <col min="18" max="19" width="12.7109375" style="4" bestFit="1" customWidth="1"/>
    <col min="20" max="21" width="12.5703125" style="4" bestFit="1" customWidth="1"/>
  </cols>
  <sheetData>
    <row r="1" spans="1:21" ht="45" x14ac:dyDescent="0.25">
      <c r="A1" s="13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5" t="s">
        <v>13</v>
      </c>
      <c r="O1" s="16" t="s">
        <v>14</v>
      </c>
      <c r="P1" s="15" t="s">
        <v>184</v>
      </c>
      <c r="Q1" s="16" t="s">
        <v>15</v>
      </c>
      <c r="R1" s="16" t="s">
        <v>16</v>
      </c>
      <c r="S1" s="16" t="s">
        <v>17</v>
      </c>
      <c r="T1" s="16" t="s">
        <v>18</v>
      </c>
      <c r="U1" s="17" t="s">
        <v>19</v>
      </c>
    </row>
    <row r="2" spans="1:21" x14ac:dyDescent="0.25">
      <c r="A2" s="1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3" t="s">
        <v>26</v>
      </c>
      <c r="H2" s="6">
        <v>0</v>
      </c>
      <c r="I2" s="6">
        <v>0</v>
      </c>
      <c r="J2" s="6">
        <v>0</v>
      </c>
      <c r="K2" s="6">
        <v>26</v>
      </c>
      <c r="L2" s="7">
        <v>26</v>
      </c>
      <c r="M2" s="6">
        <v>0</v>
      </c>
      <c r="N2" s="8">
        <v>290</v>
      </c>
      <c r="O2" s="9">
        <v>7587.0599999999995</v>
      </c>
      <c r="P2" s="10">
        <v>33.85</v>
      </c>
      <c r="Q2" s="11">
        <v>880.1</v>
      </c>
      <c r="R2" s="12">
        <v>0</v>
      </c>
      <c r="S2" s="11">
        <v>0</v>
      </c>
      <c r="T2" s="10">
        <f>P2-R2</f>
        <v>33.85</v>
      </c>
      <c r="U2" s="18">
        <f>Q2-S2</f>
        <v>880.1</v>
      </c>
    </row>
    <row r="3" spans="1:21" x14ac:dyDescent="0.25">
      <c r="A3" s="1" t="s">
        <v>27</v>
      </c>
      <c r="B3" s="2" t="s">
        <v>28</v>
      </c>
      <c r="C3" s="2" t="s">
        <v>29</v>
      </c>
      <c r="D3" s="2" t="s">
        <v>23</v>
      </c>
      <c r="E3" s="2" t="s">
        <v>24</v>
      </c>
      <c r="F3" s="2" t="s">
        <v>25</v>
      </c>
      <c r="G3" s="3" t="s">
        <v>30</v>
      </c>
      <c r="H3" s="6">
        <v>10.733417311176796</v>
      </c>
      <c r="I3" s="6">
        <v>13.76689276466408</v>
      </c>
      <c r="J3" s="6">
        <v>10.483760769518842</v>
      </c>
      <c r="K3" s="6">
        <v>8.9625924852077361</v>
      </c>
      <c r="L3" s="7">
        <v>9.01</v>
      </c>
      <c r="M3" s="6">
        <v>9.2697948128778709</v>
      </c>
      <c r="N3" s="8">
        <v>1030</v>
      </c>
      <c r="O3" s="9">
        <v>9409.7506574726049</v>
      </c>
      <c r="P3" s="10">
        <v>1292.8700000000001</v>
      </c>
      <c r="Q3" s="11">
        <v>11984.639619725414</v>
      </c>
      <c r="R3" s="12">
        <v>200</v>
      </c>
      <c r="S3" s="11">
        <v>1853.9589625755741</v>
      </c>
      <c r="T3" s="10">
        <f t="shared" ref="T3:U47" si="0">P3-R3</f>
        <v>1092.8700000000001</v>
      </c>
      <c r="U3" s="18">
        <f t="shared" si="0"/>
        <v>10130.68065714984</v>
      </c>
    </row>
    <row r="4" spans="1:21" x14ac:dyDescent="0.25">
      <c r="A4" s="1" t="s">
        <v>31</v>
      </c>
      <c r="B4" s="2" t="s">
        <v>32</v>
      </c>
      <c r="C4" s="2" t="s">
        <v>33</v>
      </c>
      <c r="D4" s="2" t="s">
        <v>23</v>
      </c>
      <c r="E4" s="2" t="s">
        <v>24</v>
      </c>
      <c r="F4" s="2" t="s">
        <v>25</v>
      </c>
      <c r="G4" s="3" t="s">
        <v>34</v>
      </c>
      <c r="H4" s="6">
        <v>22</v>
      </c>
      <c r="I4" s="6">
        <v>22</v>
      </c>
      <c r="J4" s="6">
        <v>22</v>
      </c>
      <c r="K4" s="6">
        <v>22</v>
      </c>
      <c r="L4" s="7">
        <v>8</v>
      </c>
      <c r="M4" s="6">
        <v>8</v>
      </c>
      <c r="N4" s="8">
        <v>25</v>
      </c>
      <c r="O4" s="9">
        <v>550</v>
      </c>
      <c r="P4" s="10">
        <v>50.92</v>
      </c>
      <c r="Q4" s="11">
        <v>407.36</v>
      </c>
      <c r="R4" s="12">
        <v>20</v>
      </c>
      <c r="S4" s="11">
        <v>160</v>
      </c>
      <c r="T4" s="10">
        <f t="shared" si="0"/>
        <v>30.92</v>
      </c>
      <c r="U4" s="18">
        <f t="shared" si="0"/>
        <v>247.36</v>
      </c>
    </row>
    <row r="5" spans="1:21" x14ac:dyDescent="0.25">
      <c r="A5" s="1" t="s">
        <v>35</v>
      </c>
      <c r="B5" s="2" t="s">
        <v>36</v>
      </c>
      <c r="C5" s="2" t="s">
        <v>37</v>
      </c>
      <c r="D5" s="2" t="s">
        <v>23</v>
      </c>
      <c r="E5" s="2" t="s">
        <v>24</v>
      </c>
      <c r="F5" s="2" t="s">
        <v>38</v>
      </c>
      <c r="G5" s="3" t="s">
        <v>39</v>
      </c>
      <c r="H5" s="6">
        <v>33.46365143823094</v>
      </c>
      <c r="I5" s="6">
        <v>34.872048414792467</v>
      </c>
      <c r="J5" s="6">
        <v>36.275613006804249</v>
      </c>
      <c r="K5" s="6">
        <v>32.161792199419793</v>
      </c>
      <c r="L5" s="7">
        <v>32.1</v>
      </c>
      <c r="M5" s="6">
        <v>0</v>
      </c>
      <c r="N5" s="8">
        <v>525</v>
      </c>
      <c r="O5" s="9">
        <v>17063.535565435966</v>
      </c>
      <c r="P5" s="10">
        <v>455.72</v>
      </c>
      <c r="Q5" s="11">
        <v>14628.612000000001</v>
      </c>
      <c r="R5" s="12">
        <v>0</v>
      </c>
      <c r="S5" s="11">
        <v>0</v>
      </c>
      <c r="T5" s="10">
        <f t="shared" si="0"/>
        <v>455.72</v>
      </c>
      <c r="U5" s="18">
        <f t="shared" si="0"/>
        <v>14628.612000000001</v>
      </c>
    </row>
    <row r="6" spans="1:21" x14ac:dyDescent="0.25">
      <c r="A6" s="1" t="s">
        <v>40</v>
      </c>
      <c r="B6" s="2" t="s">
        <v>41</v>
      </c>
      <c r="C6" s="2" t="s">
        <v>42</v>
      </c>
      <c r="D6" s="2" t="s">
        <v>23</v>
      </c>
      <c r="E6" s="2" t="s">
        <v>24</v>
      </c>
      <c r="F6" s="2" t="s">
        <v>38</v>
      </c>
      <c r="G6" s="3" t="s">
        <v>43</v>
      </c>
      <c r="H6" s="6">
        <v>27.721412365033331</v>
      </c>
      <c r="I6" s="6">
        <v>26.620991058823574</v>
      </c>
      <c r="J6" s="6">
        <v>28.141966337419355</v>
      </c>
      <c r="K6" s="6">
        <v>32.215920279114393</v>
      </c>
      <c r="L6" s="7">
        <v>23.540000000000003</v>
      </c>
      <c r="M6" s="6">
        <v>32.852575195762967</v>
      </c>
      <c r="N6" s="8">
        <v>4947</v>
      </c>
      <c r="O6" s="9">
        <v>158566.04914117002</v>
      </c>
      <c r="P6" s="10">
        <v>5399.992013</v>
      </c>
      <c r="Q6" s="11">
        <v>177403.64366360192</v>
      </c>
      <c r="R6" s="12">
        <v>1980</v>
      </c>
      <c r="S6" s="11">
        <v>65653.224044624338</v>
      </c>
      <c r="T6" s="10">
        <f t="shared" si="0"/>
        <v>3419.992013</v>
      </c>
      <c r="U6" s="18">
        <f t="shared" si="0"/>
        <v>111750.41961897758</v>
      </c>
    </row>
    <row r="7" spans="1:21" x14ac:dyDescent="0.25">
      <c r="A7" s="1" t="s">
        <v>44</v>
      </c>
      <c r="B7" s="2" t="s">
        <v>45</v>
      </c>
      <c r="C7" s="2" t="s">
        <v>46</v>
      </c>
      <c r="D7" s="2" t="s">
        <v>23</v>
      </c>
      <c r="E7" s="2" t="s">
        <v>24</v>
      </c>
      <c r="F7" s="2" t="s">
        <v>38</v>
      </c>
      <c r="G7" s="3" t="s">
        <v>43</v>
      </c>
      <c r="H7" s="6">
        <v>36.36442601161248</v>
      </c>
      <c r="I7" s="6">
        <v>36.577878982657332</v>
      </c>
      <c r="J7" s="6">
        <v>39.310249235810133</v>
      </c>
      <c r="K7" s="6">
        <v>32.210814545571857</v>
      </c>
      <c r="L7" s="7">
        <v>26.75</v>
      </c>
      <c r="M7" s="6">
        <v>31.667727252375119</v>
      </c>
      <c r="N7" s="8">
        <v>3875</v>
      </c>
      <c r="O7" s="9">
        <v>141674.76813478107</v>
      </c>
      <c r="P7" s="10">
        <v>5124.9975369999993</v>
      </c>
      <c r="Q7" s="11">
        <v>162297.02417081024</v>
      </c>
      <c r="R7" s="12">
        <v>2220</v>
      </c>
      <c r="S7" s="11">
        <v>74634.378722032227</v>
      </c>
      <c r="T7" s="10">
        <f t="shared" si="0"/>
        <v>2904.9975369999993</v>
      </c>
      <c r="U7" s="18">
        <f t="shared" si="0"/>
        <v>87662.645448778014</v>
      </c>
    </row>
    <row r="8" spans="1:21" x14ac:dyDescent="0.25">
      <c r="A8" s="1" t="s">
        <v>47</v>
      </c>
      <c r="B8" s="2" t="s">
        <v>48</v>
      </c>
      <c r="C8" s="2" t="s">
        <v>49</v>
      </c>
      <c r="D8" s="2" t="s">
        <v>23</v>
      </c>
      <c r="E8" s="2" t="s">
        <v>24</v>
      </c>
      <c r="F8" s="2" t="s">
        <v>38</v>
      </c>
      <c r="G8" s="3" t="s">
        <v>43</v>
      </c>
      <c r="H8" s="6">
        <v>8.9718529177113382</v>
      </c>
      <c r="I8" s="6">
        <v>7.5953024723591414</v>
      </c>
      <c r="J8" s="6">
        <v>8.3270455060892701</v>
      </c>
      <c r="K8" s="6">
        <v>12.991993892062631</v>
      </c>
      <c r="L8" s="7">
        <v>4.8150000000000004</v>
      </c>
      <c r="M8" s="6">
        <v>13.248743186644459</v>
      </c>
      <c r="N8" s="8">
        <v>24570</v>
      </c>
      <c r="O8" s="9">
        <v>407885.84319631377</v>
      </c>
      <c r="P8" s="10">
        <v>28760.003291000005</v>
      </c>
      <c r="Q8" s="11">
        <v>381033.89764950855</v>
      </c>
      <c r="R8" s="12">
        <v>6010</v>
      </c>
      <c r="S8" s="11">
        <v>79624.946551733199</v>
      </c>
      <c r="T8" s="10">
        <f t="shared" si="0"/>
        <v>22750.003291000005</v>
      </c>
      <c r="U8" s="18">
        <f t="shared" si="0"/>
        <v>301408.95109777537</v>
      </c>
    </row>
    <row r="9" spans="1:21" x14ac:dyDescent="0.25">
      <c r="A9" s="1" t="s">
        <v>50</v>
      </c>
      <c r="B9" s="2" t="s">
        <v>51</v>
      </c>
      <c r="C9" s="2" t="s">
        <v>52</v>
      </c>
      <c r="D9" s="2" t="s">
        <v>23</v>
      </c>
      <c r="E9" s="2" t="s">
        <v>24</v>
      </c>
      <c r="F9" s="2" t="s">
        <v>25</v>
      </c>
      <c r="G9" s="3" t="s">
        <v>53</v>
      </c>
      <c r="H9" s="6">
        <v>46.012883869029039</v>
      </c>
      <c r="I9" s="6">
        <v>49.06346668430708</v>
      </c>
      <c r="J9" s="6">
        <v>50.235172814724628</v>
      </c>
      <c r="K9" s="6">
        <v>68.167319362842505</v>
      </c>
      <c r="L9" s="7">
        <v>68.37</v>
      </c>
      <c r="M9" s="6">
        <v>71.403833793181832</v>
      </c>
      <c r="N9" s="8">
        <v>1750</v>
      </c>
      <c r="O9" s="9">
        <v>105339.88048503625</v>
      </c>
      <c r="P9" s="10">
        <v>1193.71</v>
      </c>
      <c r="Q9" s="11">
        <v>85235.470437259093</v>
      </c>
      <c r="R9" s="12">
        <v>375</v>
      </c>
      <c r="S9" s="11">
        <v>25961.775898843043</v>
      </c>
      <c r="T9" s="10">
        <f t="shared" si="0"/>
        <v>818.71</v>
      </c>
      <c r="U9" s="18">
        <f t="shared" si="0"/>
        <v>59273.69453841605</v>
      </c>
    </row>
    <row r="10" spans="1:21" x14ac:dyDescent="0.25">
      <c r="A10" s="1" t="s">
        <v>54</v>
      </c>
      <c r="B10" s="2" t="s">
        <v>55</v>
      </c>
      <c r="C10" s="2" t="s">
        <v>56</v>
      </c>
      <c r="D10" s="2" t="s">
        <v>23</v>
      </c>
      <c r="E10" s="2" t="s">
        <v>24</v>
      </c>
      <c r="F10" s="2" t="s">
        <v>25</v>
      </c>
      <c r="G10" s="3" t="s">
        <v>57</v>
      </c>
      <c r="H10" s="6">
        <v>26</v>
      </c>
      <c r="I10" s="6">
        <v>26</v>
      </c>
      <c r="J10" s="6">
        <v>26</v>
      </c>
      <c r="K10" s="6">
        <v>27.25</v>
      </c>
      <c r="L10" s="7">
        <v>27.5</v>
      </c>
      <c r="M10" s="6">
        <v>27.25</v>
      </c>
      <c r="N10" s="8">
        <v>425</v>
      </c>
      <c r="O10" s="9">
        <v>11581.25</v>
      </c>
      <c r="P10" s="10">
        <v>783.43</v>
      </c>
      <c r="Q10" s="11">
        <v>21348.467499999999</v>
      </c>
      <c r="R10" s="12">
        <v>125</v>
      </c>
      <c r="S10" s="11">
        <v>3406.25</v>
      </c>
      <c r="T10" s="10">
        <f t="shared" si="0"/>
        <v>658.43</v>
      </c>
      <c r="U10" s="18">
        <f t="shared" si="0"/>
        <v>17942.217499999999</v>
      </c>
    </row>
    <row r="11" spans="1:21" x14ac:dyDescent="0.25">
      <c r="A11" s="1" t="s">
        <v>58</v>
      </c>
      <c r="B11" s="2" t="s">
        <v>59</v>
      </c>
      <c r="C11" s="2" t="s">
        <v>60</v>
      </c>
      <c r="D11" s="2" t="s">
        <v>23</v>
      </c>
      <c r="E11" s="2" t="s">
        <v>24</v>
      </c>
      <c r="F11" s="2" t="s">
        <v>25</v>
      </c>
      <c r="G11" s="3" t="s">
        <v>61</v>
      </c>
      <c r="H11" s="6">
        <v>20.684634967751066</v>
      </c>
      <c r="I11" s="6">
        <v>21.089873583808327</v>
      </c>
      <c r="J11" s="6">
        <v>22.18455734579091</v>
      </c>
      <c r="K11" s="6">
        <v>16.64244778382913</v>
      </c>
      <c r="L11" s="7">
        <v>17.490000000000002</v>
      </c>
      <c r="M11" s="6">
        <v>17.03628843164633</v>
      </c>
      <c r="N11" s="8">
        <v>535</v>
      </c>
      <c r="O11" s="9">
        <v>9331.8553445748912</v>
      </c>
      <c r="P11" s="10">
        <v>624.2299999999999</v>
      </c>
      <c r="Q11" s="11">
        <v>10634.562327686586</v>
      </c>
      <c r="R11" s="12">
        <v>125</v>
      </c>
      <c r="S11" s="11">
        <v>2129.5360539557919</v>
      </c>
      <c r="T11" s="10">
        <f t="shared" si="0"/>
        <v>499.2299999999999</v>
      </c>
      <c r="U11" s="18">
        <f t="shared" si="0"/>
        <v>8505.0262737307949</v>
      </c>
    </row>
    <row r="12" spans="1:21" x14ac:dyDescent="0.25">
      <c r="A12" s="1" t="s">
        <v>62</v>
      </c>
      <c r="B12" s="2" t="s">
        <v>63</v>
      </c>
      <c r="C12" s="2" t="s">
        <v>64</v>
      </c>
      <c r="D12" s="2" t="s">
        <v>23</v>
      </c>
      <c r="E12" s="2" t="s">
        <v>24</v>
      </c>
      <c r="F12" s="2" t="s">
        <v>38</v>
      </c>
      <c r="G12" s="3" t="s">
        <v>43</v>
      </c>
      <c r="H12" s="6">
        <v>58.551054154081399</v>
      </c>
      <c r="I12" s="6">
        <v>21.111307004830763</v>
      </c>
      <c r="J12" s="6">
        <v>23.075016009324482</v>
      </c>
      <c r="K12" s="6">
        <v>28.339760210704341</v>
      </c>
      <c r="L12" s="7">
        <v>24.610000000000003</v>
      </c>
      <c r="M12" s="6">
        <v>25.29589909520497</v>
      </c>
      <c r="N12" s="8">
        <v>2549.8200000000002</v>
      </c>
      <c r="O12" s="9">
        <v>77261.379682531217</v>
      </c>
      <c r="P12" s="10">
        <v>3299.9987779999997</v>
      </c>
      <c r="Q12" s="11">
        <v>83476.436102587701</v>
      </c>
      <c r="R12" s="12">
        <v>1712</v>
      </c>
      <c r="S12" s="11">
        <v>48204.462030689756</v>
      </c>
      <c r="T12" s="10">
        <f t="shared" si="0"/>
        <v>1587.9987779999997</v>
      </c>
      <c r="U12" s="18">
        <f t="shared" si="0"/>
        <v>35271.974071897945</v>
      </c>
    </row>
    <row r="13" spans="1:21" x14ac:dyDescent="0.25">
      <c r="A13" s="1" t="s">
        <v>65</v>
      </c>
      <c r="B13" s="2" t="s">
        <v>66</v>
      </c>
      <c r="C13" s="2" t="s">
        <v>67</v>
      </c>
      <c r="D13" s="2" t="s">
        <v>23</v>
      </c>
      <c r="E13" s="2" t="s">
        <v>24</v>
      </c>
      <c r="F13" s="2" t="s">
        <v>38</v>
      </c>
      <c r="G13" s="3" t="s">
        <v>68</v>
      </c>
      <c r="H13" s="6">
        <v>7.0311877533770275</v>
      </c>
      <c r="I13" s="6">
        <v>7.4173162981084291</v>
      </c>
      <c r="J13" s="6">
        <v>0</v>
      </c>
      <c r="K13" s="6">
        <v>8.7225786990926384</v>
      </c>
      <c r="L13" s="7">
        <v>8.1319999999999997</v>
      </c>
      <c r="M13" s="6">
        <v>0</v>
      </c>
      <c r="N13" s="8">
        <v>207</v>
      </c>
      <c r="O13" s="9">
        <v>1805.5737907121761</v>
      </c>
      <c r="P13" s="10">
        <v>164.88</v>
      </c>
      <c r="Q13" s="11">
        <v>1340.8041599999999</v>
      </c>
      <c r="R13" s="12">
        <v>0</v>
      </c>
      <c r="S13" s="11">
        <v>0</v>
      </c>
      <c r="T13" s="10">
        <f t="shared" si="0"/>
        <v>164.88</v>
      </c>
      <c r="U13" s="18">
        <f t="shared" si="0"/>
        <v>1340.8041599999999</v>
      </c>
    </row>
    <row r="14" spans="1:21" x14ac:dyDescent="0.25">
      <c r="A14" s="1" t="s">
        <v>69</v>
      </c>
      <c r="B14" s="2" t="s">
        <v>70</v>
      </c>
      <c r="C14" s="2" t="s">
        <v>71</v>
      </c>
      <c r="D14" s="2" t="s">
        <v>23</v>
      </c>
      <c r="E14" s="2" t="s">
        <v>24</v>
      </c>
      <c r="F14" s="2" t="s">
        <v>25</v>
      </c>
      <c r="G14" s="3" t="s">
        <v>57</v>
      </c>
      <c r="H14" s="6">
        <v>14.052592499999999</v>
      </c>
      <c r="I14" s="6">
        <v>14</v>
      </c>
      <c r="J14" s="6">
        <v>14</v>
      </c>
      <c r="K14" s="6">
        <v>15</v>
      </c>
      <c r="L14" s="7">
        <v>15.5</v>
      </c>
      <c r="M14" s="6">
        <v>15.5</v>
      </c>
      <c r="N14" s="8">
        <v>9275</v>
      </c>
      <c r="O14" s="9">
        <v>135675</v>
      </c>
      <c r="P14" s="10">
        <v>13825.779999999999</v>
      </c>
      <c r="Q14" s="11">
        <v>214299.58999999997</v>
      </c>
      <c r="R14" s="12">
        <v>2800</v>
      </c>
      <c r="S14" s="11">
        <v>42725</v>
      </c>
      <c r="T14" s="10">
        <f t="shared" si="0"/>
        <v>11025.779999999999</v>
      </c>
      <c r="U14" s="18">
        <f t="shared" si="0"/>
        <v>171574.58999999997</v>
      </c>
    </row>
    <row r="15" spans="1:21" x14ac:dyDescent="0.25">
      <c r="A15" s="1" t="s">
        <v>72</v>
      </c>
      <c r="B15" s="2" t="s">
        <v>73</v>
      </c>
      <c r="C15" s="2" t="s">
        <v>74</v>
      </c>
      <c r="D15" s="2" t="s">
        <v>23</v>
      </c>
      <c r="E15" s="2" t="s">
        <v>24</v>
      </c>
      <c r="F15" s="2" t="s">
        <v>38</v>
      </c>
      <c r="G15" s="3" t="s">
        <v>75</v>
      </c>
      <c r="H15" s="6">
        <v>0.1215158588493753</v>
      </c>
      <c r="I15" s="6">
        <v>0.11817292829756443</v>
      </c>
      <c r="J15" s="6">
        <v>9.6195074024455762E-2</v>
      </c>
      <c r="K15" s="6">
        <v>0.16009464578381249</v>
      </c>
      <c r="L15" s="7">
        <v>0.16009464578381249</v>
      </c>
      <c r="M15" s="6">
        <v>0</v>
      </c>
      <c r="N15" s="8">
        <v>350</v>
      </c>
      <c r="O15" s="9">
        <v>56.329681985509055</v>
      </c>
      <c r="P15" s="10">
        <v>384.19</v>
      </c>
      <c r="Q15" s="11">
        <v>61.506761963682919</v>
      </c>
      <c r="R15" s="12">
        <v>0</v>
      </c>
      <c r="S15" s="11">
        <v>0</v>
      </c>
      <c r="T15" s="10">
        <f t="shared" si="0"/>
        <v>384.19</v>
      </c>
      <c r="U15" s="18">
        <f t="shared" si="0"/>
        <v>61.506761963682919</v>
      </c>
    </row>
    <row r="16" spans="1:21" x14ac:dyDescent="0.25">
      <c r="A16" s="1" t="s">
        <v>76</v>
      </c>
      <c r="B16" s="2" t="s">
        <v>77</v>
      </c>
      <c r="C16" s="2" t="s">
        <v>78</v>
      </c>
      <c r="D16" s="2" t="s">
        <v>23</v>
      </c>
      <c r="E16" s="2" t="s">
        <v>24</v>
      </c>
      <c r="F16" s="2" t="s">
        <v>79</v>
      </c>
      <c r="G16" s="3" t="s">
        <v>80</v>
      </c>
      <c r="H16" s="6">
        <v>125.27506154044561</v>
      </c>
      <c r="I16" s="6">
        <v>122.2022007237279</v>
      </c>
      <c r="J16" s="6">
        <v>133.55885362569731</v>
      </c>
      <c r="K16" s="6">
        <v>120.76234375559621</v>
      </c>
      <c r="L16" s="7">
        <v>144.001</v>
      </c>
      <c r="M16" s="6">
        <v>133.02603862983329</v>
      </c>
      <c r="N16" s="8">
        <v>100</v>
      </c>
      <c r="O16" s="9">
        <v>12176.615265796696</v>
      </c>
      <c r="P16" s="10">
        <v>134.598964</v>
      </c>
      <c r="Q16" s="11">
        <v>17905.166984599542</v>
      </c>
      <c r="R16" s="12">
        <v>60</v>
      </c>
      <c r="S16" s="11">
        <v>7981.5623177899997</v>
      </c>
      <c r="T16" s="10">
        <f t="shared" si="0"/>
        <v>74.598963999999995</v>
      </c>
      <c r="U16" s="18">
        <f t="shared" si="0"/>
        <v>9923.6046668095423</v>
      </c>
    </row>
    <row r="17" spans="1:21" x14ac:dyDescent="0.25">
      <c r="A17" s="1" t="s">
        <v>81</v>
      </c>
      <c r="B17" s="2" t="s">
        <v>82</v>
      </c>
      <c r="C17" s="2" t="s">
        <v>83</v>
      </c>
      <c r="D17" s="2" t="s">
        <v>23</v>
      </c>
      <c r="E17" s="2" t="s">
        <v>24</v>
      </c>
      <c r="F17" s="2" t="s">
        <v>25</v>
      </c>
      <c r="G17" s="3" t="s">
        <v>57</v>
      </c>
      <c r="H17" s="6">
        <v>60.416666666666664</v>
      </c>
      <c r="I17" s="6">
        <v>49.5</v>
      </c>
      <c r="J17" s="6">
        <v>49.5</v>
      </c>
      <c r="K17" s="6">
        <v>55</v>
      </c>
      <c r="L17" s="7">
        <v>56</v>
      </c>
      <c r="M17" s="6">
        <v>58</v>
      </c>
      <c r="N17" s="8">
        <v>3200</v>
      </c>
      <c r="O17" s="9">
        <v>173250</v>
      </c>
      <c r="P17" s="10">
        <v>4404.5200000000004</v>
      </c>
      <c r="Q17" s="11">
        <v>255462.16000000003</v>
      </c>
      <c r="R17" s="12">
        <v>730</v>
      </c>
      <c r="S17" s="11">
        <v>42340</v>
      </c>
      <c r="T17" s="10">
        <f t="shared" si="0"/>
        <v>3674.5200000000004</v>
      </c>
      <c r="U17" s="18">
        <f t="shared" si="0"/>
        <v>213122.16000000003</v>
      </c>
    </row>
    <row r="18" spans="1:21" x14ac:dyDescent="0.25">
      <c r="A18" s="1" t="s">
        <v>84</v>
      </c>
      <c r="B18" s="2" t="s">
        <v>85</v>
      </c>
      <c r="C18" s="2" t="s">
        <v>86</v>
      </c>
      <c r="D18" s="2" t="s">
        <v>23</v>
      </c>
      <c r="E18" s="2" t="s">
        <v>24</v>
      </c>
      <c r="F18" s="2" t="s">
        <v>25</v>
      </c>
      <c r="G18" s="3" t="s">
        <v>57</v>
      </c>
      <c r="H18" s="6">
        <v>26.07970222222222</v>
      </c>
      <c r="I18" s="6">
        <v>26</v>
      </c>
      <c r="J18" s="6">
        <v>26</v>
      </c>
      <c r="K18" s="6">
        <v>27.25</v>
      </c>
      <c r="L18" s="7">
        <v>27.5</v>
      </c>
      <c r="M18" s="6">
        <v>27.25001017293998</v>
      </c>
      <c r="N18" s="8">
        <v>2100</v>
      </c>
      <c r="O18" s="9">
        <v>57225</v>
      </c>
      <c r="P18" s="10">
        <v>2457.25</v>
      </c>
      <c r="Q18" s="11">
        <v>66960.087497456771</v>
      </c>
      <c r="R18" s="12">
        <v>501.5</v>
      </c>
      <c r="S18" s="11">
        <v>13665.88</v>
      </c>
      <c r="T18" s="10">
        <f t="shared" si="0"/>
        <v>1955.75</v>
      </c>
      <c r="U18" s="18">
        <f t="shared" si="0"/>
        <v>53294.207497456773</v>
      </c>
    </row>
    <row r="19" spans="1:21" x14ac:dyDescent="0.25">
      <c r="A19" s="1" t="s">
        <v>87</v>
      </c>
      <c r="B19" s="2" t="s">
        <v>88</v>
      </c>
      <c r="C19" s="2" t="s">
        <v>89</v>
      </c>
      <c r="D19" s="2" t="s">
        <v>23</v>
      </c>
      <c r="E19" s="2" t="s">
        <v>24</v>
      </c>
      <c r="F19" s="2" t="s">
        <v>25</v>
      </c>
      <c r="G19" s="3" t="s">
        <v>57</v>
      </c>
      <c r="H19" s="6">
        <v>26</v>
      </c>
      <c r="I19" s="6">
        <v>26</v>
      </c>
      <c r="J19" s="6">
        <v>26</v>
      </c>
      <c r="K19" s="6">
        <v>27.25</v>
      </c>
      <c r="L19" s="7">
        <v>27.5</v>
      </c>
      <c r="M19" s="6">
        <v>0</v>
      </c>
      <c r="N19" s="8">
        <v>250</v>
      </c>
      <c r="O19" s="9">
        <v>6812.5</v>
      </c>
      <c r="P19" s="10">
        <v>279.14</v>
      </c>
      <c r="Q19" s="11">
        <v>7676.3499999999995</v>
      </c>
      <c r="R19" s="12">
        <v>0</v>
      </c>
      <c r="S19" s="11">
        <v>0</v>
      </c>
      <c r="T19" s="10">
        <f t="shared" si="0"/>
        <v>279.14</v>
      </c>
      <c r="U19" s="18">
        <f t="shared" si="0"/>
        <v>7676.3499999999995</v>
      </c>
    </row>
    <row r="20" spans="1:21" x14ac:dyDescent="0.25">
      <c r="A20" s="1" t="s">
        <v>90</v>
      </c>
      <c r="B20" s="2" t="s">
        <v>91</v>
      </c>
      <c r="C20" s="2" t="s">
        <v>92</v>
      </c>
      <c r="D20" s="2" t="s">
        <v>23</v>
      </c>
      <c r="E20" s="2" t="s">
        <v>24</v>
      </c>
      <c r="F20" s="2" t="s">
        <v>25</v>
      </c>
      <c r="G20" s="3" t="s">
        <v>93</v>
      </c>
      <c r="H20" s="6">
        <v>6.5042435128763882</v>
      </c>
      <c r="I20" s="6">
        <v>6.9515019518207648</v>
      </c>
      <c r="J20" s="6">
        <v>7.1348368350349478</v>
      </c>
      <c r="K20" s="6">
        <v>9.2151267678232003</v>
      </c>
      <c r="L20" s="7">
        <v>8.2149999999999999</v>
      </c>
      <c r="M20" s="6">
        <v>8.2509000699701023</v>
      </c>
      <c r="N20" s="8">
        <v>3998.3199999999997</v>
      </c>
      <c r="O20" s="9">
        <v>31462.417710316986</v>
      </c>
      <c r="P20" s="10">
        <v>4344.74</v>
      </c>
      <c r="Q20" s="11">
        <v>35848.015570001902</v>
      </c>
      <c r="R20" s="12">
        <v>1000</v>
      </c>
      <c r="S20" s="11">
        <v>8250.9000699701028</v>
      </c>
      <c r="T20" s="10">
        <f t="shared" si="0"/>
        <v>3344.74</v>
      </c>
      <c r="U20" s="18">
        <f t="shared" si="0"/>
        <v>27597.115500031799</v>
      </c>
    </row>
    <row r="21" spans="1:21" x14ac:dyDescent="0.25">
      <c r="A21" s="1" t="s">
        <v>94</v>
      </c>
      <c r="B21" s="2" t="s">
        <v>95</v>
      </c>
      <c r="C21" s="2" t="s">
        <v>96</v>
      </c>
      <c r="D21" s="2" t="s">
        <v>23</v>
      </c>
      <c r="E21" s="2" t="s">
        <v>24</v>
      </c>
      <c r="F21" s="2" t="s">
        <v>38</v>
      </c>
      <c r="G21" s="3" t="s">
        <v>97</v>
      </c>
      <c r="H21" s="6">
        <v>8.9001458398746447</v>
      </c>
      <c r="I21" s="6">
        <v>7.1385241838995199</v>
      </c>
      <c r="J21" s="6">
        <v>7.9523608178201135</v>
      </c>
      <c r="K21" s="6">
        <v>10.3905855974535</v>
      </c>
      <c r="L21" s="7">
        <v>5.3500000000000005</v>
      </c>
      <c r="M21" s="6">
        <v>11.224041859922099</v>
      </c>
      <c r="N21" s="8">
        <v>3190</v>
      </c>
      <c r="O21" s="9">
        <v>49197.57087531704</v>
      </c>
      <c r="P21" s="10">
        <v>3000.0000659999996</v>
      </c>
      <c r="Q21" s="11">
        <v>33672.126320553056</v>
      </c>
      <c r="R21" s="12">
        <v>790</v>
      </c>
      <c r="S21" s="11">
        <v>8807.1569860857562</v>
      </c>
      <c r="T21" s="10">
        <f t="shared" si="0"/>
        <v>2210.0000659999996</v>
      </c>
      <c r="U21" s="18">
        <f t="shared" si="0"/>
        <v>24864.9693344673</v>
      </c>
    </row>
    <row r="22" spans="1:21" x14ac:dyDescent="0.25">
      <c r="A22" s="1" t="s">
        <v>98</v>
      </c>
      <c r="B22" s="2" t="s">
        <v>99</v>
      </c>
      <c r="C22" s="2" t="s">
        <v>100</v>
      </c>
      <c r="D22" s="2" t="s">
        <v>23</v>
      </c>
      <c r="E22" s="2" t="s">
        <v>24</v>
      </c>
      <c r="F22" s="2" t="s">
        <v>25</v>
      </c>
      <c r="G22" s="3" t="s">
        <v>57</v>
      </c>
      <c r="H22" s="6">
        <v>9.3973614670472667</v>
      </c>
      <c r="I22" s="6">
        <v>11.9336171577995</v>
      </c>
      <c r="J22" s="6">
        <v>7</v>
      </c>
      <c r="K22" s="6">
        <v>8.5</v>
      </c>
      <c r="L22" s="7">
        <v>8.6999999999999993</v>
      </c>
      <c r="M22" s="6">
        <v>8.6999999999999993</v>
      </c>
      <c r="N22" s="8">
        <v>1070</v>
      </c>
      <c r="O22" s="9">
        <v>8720</v>
      </c>
      <c r="P22" s="10">
        <v>1168.3600000000001</v>
      </c>
      <c r="Q22" s="11">
        <v>10164.732</v>
      </c>
      <c r="R22" s="12">
        <v>160</v>
      </c>
      <c r="S22" s="11">
        <v>1392</v>
      </c>
      <c r="T22" s="10">
        <f t="shared" si="0"/>
        <v>1008.3600000000001</v>
      </c>
      <c r="U22" s="18">
        <f t="shared" si="0"/>
        <v>8772.732</v>
      </c>
    </row>
    <row r="23" spans="1:21" x14ac:dyDescent="0.25">
      <c r="A23" s="1" t="s">
        <v>101</v>
      </c>
      <c r="B23" s="2" t="s">
        <v>102</v>
      </c>
      <c r="C23" s="2" t="s">
        <v>103</v>
      </c>
      <c r="D23" s="2" t="s">
        <v>23</v>
      </c>
      <c r="E23" s="2" t="s">
        <v>104</v>
      </c>
      <c r="F23" s="2" t="s">
        <v>38</v>
      </c>
      <c r="G23" s="3" t="s">
        <v>105</v>
      </c>
      <c r="H23" s="6">
        <v>1.7501918723740955</v>
      </c>
      <c r="I23" s="6">
        <v>3.0592594898369443</v>
      </c>
      <c r="J23" s="6">
        <v>2.26976844669825</v>
      </c>
      <c r="K23" s="6">
        <v>1.984355385990012</v>
      </c>
      <c r="L23" s="7">
        <v>2.33</v>
      </c>
      <c r="M23" s="6">
        <v>2.2791105757998951</v>
      </c>
      <c r="N23" s="8">
        <v>4110</v>
      </c>
      <c r="O23" s="9">
        <v>8980.0232739558651</v>
      </c>
      <c r="P23" s="10">
        <v>1032.73</v>
      </c>
      <c r="Q23" s="11">
        <v>2353.7058649458259</v>
      </c>
      <c r="R23" s="12">
        <v>1800</v>
      </c>
      <c r="S23" s="11">
        <v>4162.0698356867315</v>
      </c>
      <c r="T23" s="10">
        <v>0</v>
      </c>
      <c r="U23" s="18">
        <v>0</v>
      </c>
    </row>
    <row r="24" spans="1:21" x14ac:dyDescent="0.25">
      <c r="A24" s="1" t="s">
        <v>106</v>
      </c>
      <c r="B24" s="2" t="s">
        <v>107</v>
      </c>
      <c r="C24" s="2" t="s">
        <v>108</v>
      </c>
      <c r="D24" s="2" t="s">
        <v>23</v>
      </c>
      <c r="E24" s="2" t="s">
        <v>24</v>
      </c>
      <c r="F24" s="2" t="s">
        <v>38</v>
      </c>
      <c r="G24" s="3" t="s">
        <v>109</v>
      </c>
      <c r="H24" s="6">
        <v>278.49869716754625</v>
      </c>
      <c r="I24" s="6">
        <v>284.84014149520533</v>
      </c>
      <c r="J24" s="6">
        <v>303.00098134734048</v>
      </c>
      <c r="K24" s="6">
        <v>265.70146388937701</v>
      </c>
      <c r="L24" s="7">
        <v>214</v>
      </c>
      <c r="M24" s="6">
        <v>266.49583423816608</v>
      </c>
      <c r="N24" s="8">
        <v>20</v>
      </c>
      <c r="O24" s="9">
        <v>5314.0292777875402</v>
      </c>
      <c r="P24" s="10">
        <v>40</v>
      </c>
      <c r="Q24" s="11">
        <v>10659.833369526643</v>
      </c>
      <c r="R24" s="12">
        <v>20</v>
      </c>
      <c r="S24" s="11">
        <v>5329.9166847633223</v>
      </c>
      <c r="T24" s="10">
        <f t="shared" si="0"/>
        <v>20</v>
      </c>
      <c r="U24" s="18">
        <f t="shared" si="0"/>
        <v>5329.9166847633205</v>
      </c>
    </row>
    <row r="25" spans="1:21" x14ac:dyDescent="0.25">
      <c r="A25" s="1" t="s">
        <v>110</v>
      </c>
      <c r="B25" s="2" t="s">
        <v>111</v>
      </c>
      <c r="C25" s="2" t="s">
        <v>112</v>
      </c>
      <c r="D25" s="2" t="s">
        <v>23</v>
      </c>
      <c r="E25" s="2" t="s">
        <v>24</v>
      </c>
      <c r="F25" s="2" t="s">
        <v>38</v>
      </c>
      <c r="G25" s="3" t="s">
        <v>109</v>
      </c>
      <c r="H25" s="6">
        <v>173.43632814137695</v>
      </c>
      <c r="I25" s="6">
        <v>177.38549170024754</v>
      </c>
      <c r="J25" s="6">
        <v>188.69521710871209</v>
      </c>
      <c r="K25" s="6">
        <v>165.46678201159759</v>
      </c>
      <c r="L25" s="7">
        <v>160.5</v>
      </c>
      <c r="M25" s="6">
        <v>165.9614726616914</v>
      </c>
      <c r="N25" s="8">
        <v>75</v>
      </c>
      <c r="O25" s="9">
        <v>12616.122697242403</v>
      </c>
      <c r="P25" s="10">
        <v>249.99681600000002</v>
      </c>
      <c r="Q25" s="11">
        <v>41489.839744093901</v>
      </c>
      <c r="R25" s="12">
        <v>150</v>
      </c>
      <c r="S25" s="11">
        <v>25184.933784085471</v>
      </c>
      <c r="T25" s="10">
        <f t="shared" si="0"/>
        <v>99.996816000000024</v>
      </c>
      <c r="U25" s="18">
        <f t="shared" si="0"/>
        <v>16304.905960008429</v>
      </c>
    </row>
    <row r="26" spans="1:21" x14ac:dyDescent="0.25">
      <c r="A26" s="1" t="s">
        <v>113</v>
      </c>
      <c r="B26" s="2" t="s">
        <v>114</v>
      </c>
      <c r="C26" s="2" t="s">
        <v>115</v>
      </c>
      <c r="D26" s="2" t="s">
        <v>23</v>
      </c>
      <c r="E26" s="2" t="s">
        <v>24</v>
      </c>
      <c r="F26" s="2" t="s">
        <v>25</v>
      </c>
      <c r="G26" s="3" t="s">
        <v>116</v>
      </c>
      <c r="H26" s="6">
        <v>44.503086747117656</v>
      </c>
      <c r="I26" s="6">
        <v>32.177228584106317</v>
      </c>
      <c r="J26" s="6">
        <v>21.499444087728456</v>
      </c>
      <c r="K26" s="6">
        <v>21.683857551904719</v>
      </c>
      <c r="L26" s="7">
        <v>23.001999999999999</v>
      </c>
      <c r="M26" s="6">
        <v>0</v>
      </c>
      <c r="N26" s="8">
        <v>75</v>
      </c>
      <c r="O26" s="9">
        <v>1652.143052834414</v>
      </c>
      <c r="P26" s="10">
        <v>61.269999999999996</v>
      </c>
      <c r="Q26" s="11">
        <v>1409.3325399999999</v>
      </c>
      <c r="R26" s="12">
        <v>0</v>
      </c>
      <c r="S26" s="11">
        <v>0</v>
      </c>
      <c r="T26" s="10">
        <f t="shared" si="0"/>
        <v>61.269999999999996</v>
      </c>
      <c r="U26" s="18">
        <f t="shared" si="0"/>
        <v>1409.3325399999999</v>
      </c>
    </row>
    <row r="27" spans="1:21" x14ac:dyDescent="0.25">
      <c r="A27" s="1" t="s">
        <v>117</v>
      </c>
      <c r="B27" s="2" t="s">
        <v>118</v>
      </c>
      <c r="C27" s="2" t="s">
        <v>119</v>
      </c>
      <c r="D27" s="2" t="s">
        <v>23</v>
      </c>
      <c r="E27" s="2" t="s">
        <v>24</v>
      </c>
      <c r="F27" s="2" t="s">
        <v>25</v>
      </c>
      <c r="G27" s="3" t="s">
        <v>30</v>
      </c>
      <c r="H27" s="6">
        <v>0</v>
      </c>
      <c r="I27" s="6">
        <v>0</v>
      </c>
      <c r="J27" s="6">
        <v>0</v>
      </c>
      <c r="K27" s="6">
        <v>59.047657399353547</v>
      </c>
      <c r="L27" s="7">
        <v>59.36</v>
      </c>
      <c r="M27" s="6">
        <v>61.071604951107552</v>
      </c>
      <c r="N27" s="8">
        <v>120</v>
      </c>
      <c r="O27" s="9">
        <v>6845.5921162941459</v>
      </c>
      <c r="P27" s="10">
        <v>85.22</v>
      </c>
      <c r="Q27" s="11">
        <v>5204.5221739333856</v>
      </c>
      <c r="R27" s="12">
        <v>20</v>
      </c>
      <c r="S27" s="11">
        <v>1221.4320990221511</v>
      </c>
      <c r="T27" s="10">
        <f t="shared" si="0"/>
        <v>65.22</v>
      </c>
      <c r="U27" s="18">
        <f t="shared" si="0"/>
        <v>3983.0900749112343</v>
      </c>
    </row>
    <row r="28" spans="1:21" x14ac:dyDescent="0.25">
      <c r="A28" s="1" t="s">
        <v>120</v>
      </c>
      <c r="B28" s="2" t="s">
        <v>121</v>
      </c>
      <c r="C28" s="2" t="s">
        <v>122</v>
      </c>
      <c r="D28" s="2" t="s">
        <v>23</v>
      </c>
      <c r="E28" s="2" t="s">
        <v>24</v>
      </c>
      <c r="F28" s="2" t="s">
        <v>38</v>
      </c>
      <c r="G28" s="3" t="s">
        <v>123</v>
      </c>
      <c r="H28" s="6">
        <v>0</v>
      </c>
      <c r="I28" s="6">
        <v>0</v>
      </c>
      <c r="J28" s="6">
        <v>0</v>
      </c>
      <c r="K28" s="6">
        <v>27.372732915441748</v>
      </c>
      <c r="L28" s="7">
        <v>27.372732915441748</v>
      </c>
      <c r="M28" s="6">
        <v>0</v>
      </c>
      <c r="N28" s="8">
        <v>200</v>
      </c>
      <c r="O28" s="9">
        <v>5474.5465830883504</v>
      </c>
      <c r="P28" s="10">
        <v>0</v>
      </c>
      <c r="Q28" s="11">
        <v>0</v>
      </c>
      <c r="R28" s="12">
        <v>0</v>
      </c>
      <c r="S28" s="11">
        <v>0</v>
      </c>
      <c r="T28" s="10">
        <f t="shared" si="0"/>
        <v>0</v>
      </c>
      <c r="U28" s="18">
        <f t="shared" si="0"/>
        <v>0</v>
      </c>
    </row>
    <row r="29" spans="1:21" x14ac:dyDescent="0.25">
      <c r="A29" s="1" t="s">
        <v>124</v>
      </c>
      <c r="B29" s="2" t="s">
        <v>125</v>
      </c>
      <c r="C29" s="2" t="s">
        <v>126</v>
      </c>
      <c r="D29" s="2" t="s">
        <v>23</v>
      </c>
      <c r="E29" s="2" t="s">
        <v>24</v>
      </c>
      <c r="F29" s="2" t="s">
        <v>25</v>
      </c>
      <c r="G29" s="3" t="s">
        <v>30</v>
      </c>
      <c r="H29" s="6">
        <v>12.281739232929976</v>
      </c>
      <c r="I29" s="6">
        <v>12.268442503320349</v>
      </c>
      <c r="J29" s="6">
        <v>15.656949683302194</v>
      </c>
      <c r="K29" s="6">
        <v>18.557835694010429</v>
      </c>
      <c r="L29" s="7">
        <v>18.656000000000002</v>
      </c>
      <c r="M29" s="6">
        <v>19.19393224198252</v>
      </c>
      <c r="N29" s="8">
        <v>350</v>
      </c>
      <c r="O29" s="9">
        <v>5773.2068663973605</v>
      </c>
      <c r="P29" s="10">
        <v>241.59</v>
      </c>
      <c r="Q29" s="11">
        <v>4637.062090340557</v>
      </c>
      <c r="R29" s="12">
        <v>25</v>
      </c>
      <c r="S29" s="11">
        <v>479.84830604956301</v>
      </c>
      <c r="T29" s="10">
        <f t="shared" si="0"/>
        <v>216.59</v>
      </c>
      <c r="U29" s="18">
        <f t="shared" si="0"/>
        <v>4157.2137842909942</v>
      </c>
    </row>
    <row r="30" spans="1:21" x14ac:dyDescent="0.25">
      <c r="A30" s="1" t="s">
        <v>127</v>
      </c>
      <c r="B30" s="2" t="s">
        <v>128</v>
      </c>
      <c r="C30" s="2" t="s">
        <v>129</v>
      </c>
      <c r="D30" s="2" t="s">
        <v>23</v>
      </c>
      <c r="E30" s="2" t="s">
        <v>24</v>
      </c>
      <c r="F30" s="2" t="s">
        <v>25</v>
      </c>
      <c r="G30" s="3" t="s">
        <v>130</v>
      </c>
      <c r="H30" s="6">
        <v>14.534379999999999</v>
      </c>
      <c r="I30" s="6">
        <v>14</v>
      </c>
      <c r="J30" s="6">
        <v>14</v>
      </c>
      <c r="K30" s="6">
        <v>19</v>
      </c>
      <c r="L30" s="7">
        <v>20</v>
      </c>
      <c r="M30" s="6">
        <v>19</v>
      </c>
      <c r="N30" s="8">
        <v>1600</v>
      </c>
      <c r="O30" s="9">
        <v>27700</v>
      </c>
      <c r="P30" s="10">
        <v>1689.8400000000001</v>
      </c>
      <c r="Q30" s="11">
        <v>32106.960000000003</v>
      </c>
      <c r="R30" s="12">
        <v>360</v>
      </c>
      <c r="S30" s="11">
        <v>6840</v>
      </c>
      <c r="T30" s="10">
        <f t="shared" si="0"/>
        <v>1329.8400000000001</v>
      </c>
      <c r="U30" s="18">
        <f t="shared" si="0"/>
        <v>25266.960000000003</v>
      </c>
    </row>
    <row r="31" spans="1:21" x14ac:dyDescent="0.25">
      <c r="A31" s="1" t="s">
        <v>131</v>
      </c>
      <c r="B31" s="2" t="s">
        <v>132</v>
      </c>
      <c r="C31" s="2" t="s">
        <v>133</v>
      </c>
      <c r="D31" s="2" t="s">
        <v>23</v>
      </c>
      <c r="E31" s="2" t="s">
        <v>24</v>
      </c>
      <c r="F31" s="2" t="s">
        <v>25</v>
      </c>
      <c r="G31" s="3" t="s">
        <v>57</v>
      </c>
      <c r="H31" s="6">
        <v>15.4375</v>
      </c>
      <c r="I31" s="6">
        <v>15</v>
      </c>
      <c r="J31" s="6">
        <v>15</v>
      </c>
      <c r="K31" s="6">
        <v>16.25</v>
      </c>
      <c r="L31" s="7">
        <v>16.75</v>
      </c>
      <c r="M31" s="6">
        <v>16.25</v>
      </c>
      <c r="N31" s="8">
        <v>7225</v>
      </c>
      <c r="O31" s="9">
        <v>116937.5</v>
      </c>
      <c r="P31" s="10">
        <v>7486.64</v>
      </c>
      <c r="Q31" s="11">
        <v>121657.90000000001</v>
      </c>
      <c r="R31" s="12">
        <v>2025</v>
      </c>
      <c r="S31" s="11">
        <v>32906.25</v>
      </c>
      <c r="T31" s="10">
        <f t="shared" si="0"/>
        <v>5461.64</v>
      </c>
      <c r="U31" s="18">
        <f t="shared" si="0"/>
        <v>88751.650000000009</v>
      </c>
    </row>
    <row r="32" spans="1:21" x14ac:dyDescent="0.25">
      <c r="A32" s="1" t="s">
        <v>134</v>
      </c>
      <c r="B32" s="2" t="s">
        <v>135</v>
      </c>
      <c r="C32" s="2" t="s">
        <v>136</v>
      </c>
      <c r="D32" s="2" t="s">
        <v>23</v>
      </c>
      <c r="E32" s="2" t="s">
        <v>24</v>
      </c>
      <c r="F32" s="2" t="s">
        <v>25</v>
      </c>
      <c r="G32" s="3" t="s">
        <v>53</v>
      </c>
      <c r="H32" s="6">
        <v>101.82680375498582</v>
      </c>
      <c r="I32" s="6">
        <v>60.650000000000006</v>
      </c>
      <c r="J32" s="6">
        <v>64.875981861282042</v>
      </c>
      <c r="K32" s="6">
        <v>64.99674956179183</v>
      </c>
      <c r="L32" s="7">
        <v>54</v>
      </c>
      <c r="M32" s="6">
        <v>68.082724507686535</v>
      </c>
      <c r="N32" s="8">
        <v>1590</v>
      </c>
      <c r="O32" s="9">
        <v>97698.188995368197</v>
      </c>
      <c r="P32" s="10">
        <v>1392.59</v>
      </c>
      <c r="Q32" s="11">
        <v>94811.321322159187</v>
      </c>
      <c r="R32" s="12">
        <v>75</v>
      </c>
      <c r="S32" s="11">
        <v>5106.2043380764899</v>
      </c>
      <c r="T32" s="10">
        <f t="shared" si="0"/>
        <v>1317.59</v>
      </c>
      <c r="U32" s="18">
        <f t="shared" si="0"/>
        <v>89705.116984082691</v>
      </c>
    </row>
    <row r="33" spans="1:21" x14ac:dyDescent="0.25">
      <c r="A33" s="1" t="s">
        <v>137</v>
      </c>
      <c r="B33" s="2" t="s">
        <v>138</v>
      </c>
      <c r="C33" s="2" t="s">
        <v>139</v>
      </c>
      <c r="D33" s="2" t="s">
        <v>23</v>
      </c>
      <c r="E33" s="2" t="s">
        <v>24</v>
      </c>
      <c r="F33" s="2" t="s">
        <v>25</v>
      </c>
      <c r="G33" s="3" t="s">
        <v>57</v>
      </c>
      <c r="H33" s="6">
        <v>59.80147058823529</v>
      </c>
      <c r="I33" s="6">
        <v>59.800027382256289</v>
      </c>
      <c r="J33" s="6">
        <v>59.8</v>
      </c>
      <c r="K33" s="6">
        <v>68</v>
      </c>
      <c r="L33" s="7">
        <v>72</v>
      </c>
      <c r="M33" s="6">
        <v>72</v>
      </c>
      <c r="N33" s="8">
        <v>133</v>
      </c>
      <c r="O33" s="9">
        <v>8798</v>
      </c>
      <c r="P33" s="10">
        <v>164.96</v>
      </c>
      <c r="Q33" s="11">
        <v>11877.12</v>
      </c>
      <c r="R33" s="12">
        <v>28</v>
      </c>
      <c r="S33" s="11">
        <v>2016</v>
      </c>
      <c r="T33" s="10">
        <f t="shared" si="0"/>
        <v>136.96</v>
      </c>
      <c r="U33" s="18">
        <f t="shared" si="0"/>
        <v>9861.1200000000008</v>
      </c>
    </row>
    <row r="34" spans="1:21" x14ac:dyDescent="0.25">
      <c r="A34" s="1" t="s">
        <v>140</v>
      </c>
      <c r="B34" s="2" t="s">
        <v>141</v>
      </c>
      <c r="C34" s="2" t="s">
        <v>142</v>
      </c>
      <c r="D34" s="2" t="s">
        <v>23</v>
      </c>
      <c r="E34" s="2" t="s">
        <v>24</v>
      </c>
      <c r="F34" s="2" t="s">
        <v>25</v>
      </c>
      <c r="G34" s="3" t="s">
        <v>57</v>
      </c>
      <c r="H34" s="6">
        <v>51.5</v>
      </c>
      <c r="I34" s="6">
        <v>42.857142857142854</v>
      </c>
      <c r="J34" s="6">
        <v>50</v>
      </c>
      <c r="K34" s="6">
        <v>51.5</v>
      </c>
      <c r="L34" s="7">
        <v>53</v>
      </c>
      <c r="M34" s="6">
        <v>53.5</v>
      </c>
      <c r="N34" s="8">
        <v>825</v>
      </c>
      <c r="O34" s="9">
        <v>42337.5</v>
      </c>
      <c r="P34" s="10">
        <v>1102.44</v>
      </c>
      <c r="Q34" s="11">
        <v>58980.54</v>
      </c>
      <c r="R34" s="12">
        <v>150</v>
      </c>
      <c r="S34" s="11">
        <v>8025</v>
      </c>
      <c r="T34" s="10">
        <f t="shared" si="0"/>
        <v>952.44</v>
      </c>
      <c r="U34" s="18">
        <f t="shared" si="0"/>
        <v>50955.54</v>
      </c>
    </row>
    <row r="35" spans="1:21" x14ac:dyDescent="0.25">
      <c r="A35" s="1" t="s">
        <v>143</v>
      </c>
      <c r="B35" s="2" t="s">
        <v>144</v>
      </c>
      <c r="C35" s="2" t="s">
        <v>145</v>
      </c>
      <c r="D35" s="2" t="s">
        <v>23</v>
      </c>
      <c r="E35" s="2" t="s">
        <v>24</v>
      </c>
      <c r="F35" s="2" t="s">
        <v>25</v>
      </c>
      <c r="G35" s="3" t="s">
        <v>57</v>
      </c>
      <c r="H35" s="6">
        <v>21</v>
      </c>
      <c r="I35" s="6">
        <v>21</v>
      </c>
      <c r="J35" s="6">
        <v>21</v>
      </c>
      <c r="K35" s="6">
        <v>22</v>
      </c>
      <c r="L35" s="7">
        <v>23.2</v>
      </c>
      <c r="M35" s="6">
        <v>22</v>
      </c>
      <c r="N35" s="8">
        <v>1125</v>
      </c>
      <c r="O35" s="9">
        <v>24500</v>
      </c>
      <c r="P35" s="10">
        <v>1334.4399999999998</v>
      </c>
      <c r="Q35" s="11">
        <v>29357.679999999997</v>
      </c>
      <c r="R35" s="12">
        <v>450</v>
      </c>
      <c r="S35" s="11">
        <v>9900</v>
      </c>
      <c r="T35" s="10">
        <f t="shared" si="0"/>
        <v>884.43999999999983</v>
      </c>
      <c r="U35" s="18">
        <f t="shared" si="0"/>
        <v>19457.679999999997</v>
      </c>
    </row>
    <row r="36" spans="1:21" x14ac:dyDescent="0.25">
      <c r="A36" s="1" t="s">
        <v>146</v>
      </c>
      <c r="B36" s="2" t="s">
        <v>147</v>
      </c>
      <c r="C36" s="2" t="s">
        <v>148</v>
      </c>
      <c r="D36" s="2" t="s">
        <v>23</v>
      </c>
      <c r="E36" s="2" t="s">
        <v>24</v>
      </c>
      <c r="F36" s="2" t="s">
        <v>38</v>
      </c>
      <c r="G36" s="3" t="s">
        <v>149</v>
      </c>
      <c r="H36" s="6">
        <v>0</v>
      </c>
      <c r="I36" s="6">
        <v>0</v>
      </c>
      <c r="J36" s="6">
        <v>0</v>
      </c>
      <c r="K36" s="6">
        <v>0</v>
      </c>
      <c r="L36" s="7">
        <v>169.85997378070789</v>
      </c>
      <c r="M36" s="6">
        <v>0</v>
      </c>
      <c r="N36" s="8">
        <v>0</v>
      </c>
      <c r="O36" s="9">
        <v>0</v>
      </c>
      <c r="P36" s="10">
        <v>0</v>
      </c>
      <c r="Q36" s="11">
        <v>0</v>
      </c>
      <c r="R36" s="12">
        <v>0</v>
      </c>
      <c r="S36" s="11">
        <v>0</v>
      </c>
      <c r="T36" s="10">
        <f t="shared" si="0"/>
        <v>0</v>
      </c>
      <c r="U36" s="18">
        <f t="shared" si="0"/>
        <v>0</v>
      </c>
    </row>
    <row r="37" spans="1:21" x14ac:dyDescent="0.25">
      <c r="A37" s="1" t="s">
        <v>150</v>
      </c>
      <c r="B37" s="2" t="s">
        <v>151</v>
      </c>
      <c r="C37" s="2" t="s">
        <v>152</v>
      </c>
      <c r="D37" s="2" t="s">
        <v>23</v>
      </c>
      <c r="E37" s="2" t="s">
        <v>24</v>
      </c>
      <c r="F37" s="2" t="s">
        <v>38</v>
      </c>
      <c r="G37" s="3" t="s">
        <v>149</v>
      </c>
      <c r="H37" s="6">
        <v>0</v>
      </c>
      <c r="I37" s="6">
        <v>0</v>
      </c>
      <c r="J37" s="6">
        <v>0</v>
      </c>
      <c r="K37" s="6">
        <v>162.61196088758939</v>
      </c>
      <c r="L37" s="7">
        <v>162.61196088758939</v>
      </c>
      <c r="M37" s="6">
        <v>0</v>
      </c>
      <c r="N37" s="8">
        <v>45</v>
      </c>
      <c r="O37" s="9">
        <v>5657.3934581605909</v>
      </c>
      <c r="P37" s="10">
        <v>0</v>
      </c>
      <c r="Q37" s="11">
        <v>0</v>
      </c>
      <c r="R37" s="12">
        <v>0</v>
      </c>
      <c r="S37" s="11">
        <v>0</v>
      </c>
      <c r="T37" s="10">
        <f t="shared" si="0"/>
        <v>0</v>
      </c>
      <c r="U37" s="18">
        <f t="shared" si="0"/>
        <v>0</v>
      </c>
    </row>
    <row r="38" spans="1:21" x14ac:dyDescent="0.25">
      <c r="A38" s="1" t="s">
        <v>153</v>
      </c>
      <c r="B38" s="2" t="s">
        <v>154</v>
      </c>
      <c r="C38" s="2" t="s">
        <v>155</v>
      </c>
      <c r="D38" s="2" t="s">
        <v>23</v>
      </c>
      <c r="E38" s="2" t="s">
        <v>24</v>
      </c>
      <c r="F38" s="2" t="s">
        <v>38</v>
      </c>
      <c r="G38" s="3" t="s">
        <v>156</v>
      </c>
      <c r="H38" s="6">
        <v>60.510805813703762</v>
      </c>
      <c r="I38" s="6">
        <v>65.86838832045629</v>
      </c>
      <c r="J38" s="6">
        <v>66.609909559010134</v>
      </c>
      <c r="K38" s="6">
        <v>61.706951246469451</v>
      </c>
      <c r="L38" s="7">
        <v>63.07</v>
      </c>
      <c r="M38" s="6">
        <v>63.514322332885712</v>
      </c>
      <c r="N38" s="8">
        <v>382.4</v>
      </c>
      <c r="O38" s="9">
        <v>23708.222070882042</v>
      </c>
      <c r="P38" s="10">
        <v>385.988921</v>
      </c>
      <c r="Q38" s="11">
        <v>24515.824745316761</v>
      </c>
      <c r="R38" s="12">
        <v>225.89999999999998</v>
      </c>
      <c r="S38" s="11">
        <v>14343.040833564195</v>
      </c>
      <c r="T38" s="10">
        <f t="shared" si="0"/>
        <v>160.08892100000003</v>
      </c>
      <c r="U38" s="18">
        <f t="shared" si="0"/>
        <v>10172.783911752565</v>
      </c>
    </row>
    <row r="39" spans="1:21" x14ac:dyDescent="0.25">
      <c r="A39" s="1" t="s">
        <v>157</v>
      </c>
      <c r="B39" s="2" t="s">
        <v>158</v>
      </c>
      <c r="C39" s="2" t="s">
        <v>159</v>
      </c>
      <c r="D39" s="2" t="s">
        <v>23</v>
      </c>
      <c r="E39" s="2" t="s">
        <v>24</v>
      </c>
      <c r="F39" s="2" t="s">
        <v>38</v>
      </c>
      <c r="G39" s="3" t="s">
        <v>156</v>
      </c>
      <c r="H39" s="6">
        <v>53.46093899686138</v>
      </c>
      <c r="I39" s="6">
        <v>60.879183863492479</v>
      </c>
      <c r="J39" s="6">
        <v>66.611917241003013</v>
      </c>
      <c r="K39" s="6">
        <v>60.151308182527089</v>
      </c>
      <c r="L39" s="7">
        <v>62.540000000000006</v>
      </c>
      <c r="M39" s="6">
        <v>63.399760712280496</v>
      </c>
      <c r="N39" s="8">
        <v>85</v>
      </c>
      <c r="O39" s="9">
        <v>5183.959996700607</v>
      </c>
      <c r="P39" s="10">
        <v>71.12300900000001</v>
      </c>
      <c r="Q39" s="11">
        <v>4509.1817517373729</v>
      </c>
      <c r="R39" s="12">
        <v>24.95</v>
      </c>
      <c r="S39" s="11">
        <v>1581.824029771399</v>
      </c>
      <c r="T39" s="10">
        <f t="shared" si="0"/>
        <v>46.173009000000008</v>
      </c>
      <c r="U39" s="18">
        <f t="shared" si="0"/>
        <v>2927.3577219659737</v>
      </c>
    </row>
    <row r="40" spans="1:21" x14ac:dyDescent="0.25">
      <c r="A40" s="1" t="s">
        <v>160</v>
      </c>
      <c r="B40" s="2" t="s">
        <v>161</v>
      </c>
      <c r="C40" s="2" t="s">
        <v>162</v>
      </c>
      <c r="D40" s="2" t="s">
        <v>23</v>
      </c>
      <c r="E40" s="2" t="s">
        <v>24</v>
      </c>
      <c r="F40" s="2" t="s">
        <v>38</v>
      </c>
      <c r="G40" s="3" t="s">
        <v>156</v>
      </c>
      <c r="H40" s="6">
        <v>57.164714490527096</v>
      </c>
      <c r="I40" s="6">
        <v>64.746503776437265</v>
      </c>
      <c r="J40" s="6">
        <v>65.02277631944294</v>
      </c>
      <c r="K40" s="6">
        <v>58.077131988987652</v>
      </c>
      <c r="L40" s="7">
        <v>60.42</v>
      </c>
      <c r="M40" s="6">
        <v>61.223684809209637</v>
      </c>
      <c r="N40" s="8">
        <v>474.85</v>
      </c>
      <c r="O40" s="9">
        <v>27774.02976200854</v>
      </c>
      <c r="P40" s="10">
        <v>490.65578399999998</v>
      </c>
      <c r="Q40" s="11">
        <v>30039.755069431645</v>
      </c>
      <c r="R40" s="12">
        <v>184.79999999999998</v>
      </c>
      <c r="S40" s="11">
        <v>11318.173857918871</v>
      </c>
      <c r="T40" s="10">
        <f t="shared" si="0"/>
        <v>305.85578399999997</v>
      </c>
      <c r="U40" s="18">
        <f t="shared" si="0"/>
        <v>18721.581211512774</v>
      </c>
    </row>
    <row r="41" spans="1:21" x14ac:dyDescent="0.25">
      <c r="A41" s="1" t="s">
        <v>163</v>
      </c>
      <c r="B41" s="2" t="s">
        <v>164</v>
      </c>
      <c r="C41" s="2" t="s">
        <v>165</v>
      </c>
      <c r="D41" s="2" t="s">
        <v>23</v>
      </c>
      <c r="E41" s="2" t="s">
        <v>24</v>
      </c>
      <c r="F41" s="2" t="s">
        <v>38</v>
      </c>
      <c r="G41" s="3" t="s">
        <v>156</v>
      </c>
      <c r="H41" s="6">
        <v>64.179295384122824</v>
      </c>
      <c r="I41" s="6">
        <v>72.90088548430117</v>
      </c>
      <c r="J41" s="6">
        <v>73.827136064950579</v>
      </c>
      <c r="K41" s="6">
        <v>68.458764887336315</v>
      </c>
      <c r="L41" s="7">
        <v>68.37</v>
      </c>
      <c r="M41" s="6">
        <v>68.293218710065801</v>
      </c>
      <c r="N41" s="8">
        <v>178.24999999999997</v>
      </c>
      <c r="O41" s="9">
        <v>11996.484576117904</v>
      </c>
      <c r="P41" s="10">
        <v>109.83657299999999</v>
      </c>
      <c r="Q41" s="11">
        <v>7501.0931022531076</v>
      </c>
      <c r="R41" s="12">
        <v>25</v>
      </c>
      <c r="S41" s="11">
        <v>1707.3304677516451</v>
      </c>
      <c r="T41" s="10">
        <f t="shared" si="0"/>
        <v>84.836572999999987</v>
      </c>
      <c r="U41" s="18">
        <f t="shared" si="0"/>
        <v>5793.7626345014623</v>
      </c>
    </row>
    <row r="42" spans="1:21" x14ac:dyDescent="0.25">
      <c r="A42" s="1" t="s">
        <v>166</v>
      </c>
      <c r="B42" s="2" t="s">
        <v>167</v>
      </c>
      <c r="C42" s="2" t="s">
        <v>168</v>
      </c>
      <c r="D42" s="2" t="s">
        <v>23</v>
      </c>
      <c r="E42" s="2" t="s">
        <v>24</v>
      </c>
      <c r="F42" s="2" t="s">
        <v>38</v>
      </c>
      <c r="G42" s="3" t="s">
        <v>149</v>
      </c>
      <c r="H42" s="6">
        <v>0</v>
      </c>
      <c r="I42" s="6">
        <v>75.7046533547433</v>
      </c>
      <c r="J42" s="6">
        <v>78.60093781945865</v>
      </c>
      <c r="K42" s="6">
        <v>69.381106835355951</v>
      </c>
      <c r="L42" s="7">
        <v>69.381106835355951</v>
      </c>
      <c r="M42" s="6">
        <v>0</v>
      </c>
      <c r="N42" s="8">
        <v>70</v>
      </c>
      <c r="O42" s="9">
        <v>4834.2473445748692</v>
      </c>
      <c r="P42" s="10">
        <v>0</v>
      </c>
      <c r="Q42" s="11">
        <v>0</v>
      </c>
      <c r="R42" s="12">
        <v>0</v>
      </c>
      <c r="S42" s="11">
        <v>0</v>
      </c>
      <c r="T42" s="10">
        <f t="shared" si="0"/>
        <v>0</v>
      </c>
      <c r="U42" s="18">
        <f t="shared" si="0"/>
        <v>0</v>
      </c>
    </row>
    <row r="43" spans="1:21" x14ac:dyDescent="0.25">
      <c r="A43" s="1" t="s">
        <v>169</v>
      </c>
      <c r="B43" s="2" t="s">
        <v>170</v>
      </c>
      <c r="C43" s="2" t="s">
        <v>171</v>
      </c>
      <c r="D43" s="2" t="s">
        <v>23</v>
      </c>
      <c r="E43" s="2" t="s">
        <v>24</v>
      </c>
      <c r="F43" s="2" t="s">
        <v>38</v>
      </c>
      <c r="G43" s="3" t="s">
        <v>149</v>
      </c>
      <c r="H43" s="6">
        <v>20.272265025989579</v>
      </c>
      <c r="I43" s="6">
        <v>20.150792823242419</v>
      </c>
      <c r="J43" s="6">
        <v>21.619790946388239</v>
      </c>
      <c r="K43" s="6">
        <v>20.426618211815331</v>
      </c>
      <c r="L43" s="7">
        <v>22.470000000000002</v>
      </c>
      <c r="M43" s="6">
        <v>0</v>
      </c>
      <c r="N43" s="8">
        <v>165</v>
      </c>
      <c r="O43" s="9">
        <v>3400.3440033587995</v>
      </c>
      <c r="P43" s="10">
        <v>49.45</v>
      </c>
      <c r="Q43" s="11">
        <v>1111.1415000000002</v>
      </c>
      <c r="R43" s="12">
        <v>0</v>
      </c>
      <c r="S43" s="11">
        <v>0</v>
      </c>
      <c r="T43" s="10">
        <f t="shared" si="0"/>
        <v>49.45</v>
      </c>
      <c r="U43" s="18">
        <f t="shared" si="0"/>
        <v>1111.1415000000002</v>
      </c>
    </row>
    <row r="44" spans="1:21" x14ac:dyDescent="0.25">
      <c r="A44" s="1" t="s">
        <v>172</v>
      </c>
      <c r="B44" s="2" t="s">
        <v>173</v>
      </c>
      <c r="C44" s="2" t="s">
        <v>174</v>
      </c>
      <c r="D44" s="2" t="s">
        <v>23</v>
      </c>
      <c r="E44" s="2" t="s">
        <v>24</v>
      </c>
      <c r="F44" s="2" t="s">
        <v>25</v>
      </c>
      <c r="G44" s="3" t="s">
        <v>53</v>
      </c>
      <c r="H44" s="6">
        <v>0</v>
      </c>
      <c r="I44" s="6">
        <v>174.04969190617521</v>
      </c>
      <c r="J44" s="6">
        <v>163.99083549968739</v>
      </c>
      <c r="K44" s="6">
        <v>191.1137115229667</v>
      </c>
      <c r="L44" s="7">
        <v>216.24</v>
      </c>
      <c r="M44" s="6">
        <v>204.80183634221919</v>
      </c>
      <c r="N44" s="8">
        <v>2.6749999999999998</v>
      </c>
      <c r="O44" s="9">
        <v>511.2291783239358</v>
      </c>
      <c r="P44" s="10">
        <v>6.6999999999999993</v>
      </c>
      <c r="Q44" s="11">
        <v>1372.1723034928684</v>
      </c>
      <c r="R44" s="12">
        <v>2.6749999999999998</v>
      </c>
      <c r="S44" s="11">
        <v>547.84491221543647</v>
      </c>
      <c r="T44" s="10">
        <f t="shared" si="0"/>
        <v>4.0249999999999995</v>
      </c>
      <c r="U44" s="18">
        <f t="shared" si="0"/>
        <v>824.32739127743196</v>
      </c>
    </row>
    <row r="45" spans="1:21" x14ac:dyDescent="0.25">
      <c r="A45" s="1" t="s">
        <v>175</v>
      </c>
      <c r="B45" s="2" t="s">
        <v>176</v>
      </c>
      <c r="C45" s="2" t="s">
        <v>177</v>
      </c>
      <c r="D45" s="2" t="s">
        <v>23</v>
      </c>
      <c r="E45" s="2" t="s">
        <v>24</v>
      </c>
      <c r="F45" s="2" t="s">
        <v>38</v>
      </c>
      <c r="G45" s="3" t="s">
        <v>149</v>
      </c>
      <c r="H45" s="6">
        <v>28.436198808833598</v>
      </c>
      <c r="I45" s="6">
        <v>27.963725535557298</v>
      </c>
      <c r="J45" s="6">
        <v>29.706542513000571</v>
      </c>
      <c r="K45" s="6">
        <v>29.210081879037521</v>
      </c>
      <c r="L45" s="7">
        <v>24.824000000000002</v>
      </c>
      <c r="M45" s="6">
        <v>0</v>
      </c>
      <c r="N45" s="8">
        <v>20</v>
      </c>
      <c r="O45" s="9">
        <v>601.33389285608814</v>
      </c>
      <c r="P45" s="10">
        <v>11.128824000000002</v>
      </c>
      <c r="Q45" s="11">
        <v>276.26192697600004</v>
      </c>
      <c r="R45" s="12">
        <v>0</v>
      </c>
      <c r="S45" s="11">
        <v>0</v>
      </c>
      <c r="T45" s="10">
        <f t="shared" si="0"/>
        <v>11.128824000000002</v>
      </c>
      <c r="U45" s="18">
        <f t="shared" si="0"/>
        <v>276.26192697600004</v>
      </c>
    </row>
    <row r="46" spans="1:21" x14ac:dyDescent="0.25">
      <c r="A46" s="1" t="s">
        <v>178</v>
      </c>
      <c r="B46" s="2" t="s">
        <v>179</v>
      </c>
      <c r="C46" s="2" t="s">
        <v>180</v>
      </c>
      <c r="D46" s="2" t="s">
        <v>23</v>
      </c>
      <c r="E46" s="2" t="s">
        <v>24</v>
      </c>
      <c r="F46" s="2" t="s">
        <v>38</v>
      </c>
      <c r="G46" s="3" t="s">
        <v>149</v>
      </c>
      <c r="H46" s="6">
        <v>0</v>
      </c>
      <c r="I46" s="6">
        <v>0</v>
      </c>
      <c r="J46" s="6">
        <v>166.94279868450781</v>
      </c>
      <c r="K46" s="6">
        <v>0</v>
      </c>
      <c r="L46" s="7">
        <v>166.94279868450781</v>
      </c>
      <c r="M46" s="6">
        <v>0</v>
      </c>
      <c r="N46" s="8">
        <v>0</v>
      </c>
      <c r="O46" s="9">
        <v>0</v>
      </c>
      <c r="P46" s="10">
        <v>0</v>
      </c>
      <c r="Q46" s="11">
        <v>0</v>
      </c>
      <c r="R46" s="12">
        <v>0</v>
      </c>
      <c r="S46" s="11">
        <v>0</v>
      </c>
      <c r="T46" s="10">
        <f t="shared" si="0"/>
        <v>0</v>
      </c>
      <c r="U46" s="18">
        <f t="shared" si="0"/>
        <v>0</v>
      </c>
    </row>
    <row r="47" spans="1:21" ht="15.75" thickBot="1" x14ac:dyDescent="0.3">
      <c r="A47" s="19" t="s">
        <v>181</v>
      </c>
      <c r="B47" s="20" t="s">
        <v>182</v>
      </c>
      <c r="C47" s="20" t="s">
        <v>183</v>
      </c>
      <c r="D47" s="20" t="s">
        <v>23</v>
      </c>
      <c r="E47" s="20" t="s">
        <v>24</v>
      </c>
      <c r="F47" s="20" t="s">
        <v>25</v>
      </c>
      <c r="G47" s="21" t="s">
        <v>53</v>
      </c>
      <c r="H47" s="22">
        <v>38.838281807978781</v>
      </c>
      <c r="I47" s="22">
        <v>39.643587603524587</v>
      </c>
      <c r="J47" s="22">
        <v>36.327081071001572</v>
      </c>
      <c r="K47" s="22">
        <v>38.745226836015753</v>
      </c>
      <c r="L47" s="23">
        <v>38.745226836015753</v>
      </c>
      <c r="M47" s="22">
        <v>0</v>
      </c>
      <c r="N47" s="24">
        <v>75</v>
      </c>
      <c r="O47" s="25">
        <v>2922.6962170813349</v>
      </c>
      <c r="P47" s="26">
        <v>0</v>
      </c>
      <c r="Q47" s="27">
        <v>0</v>
      </c>
      <c r="R47" s="28">
        <v>0</v>
      </c>
      <c r="S47" s="27">
        <v>0</v>
      </c>
      <c r="T47" s="26">
        <f t="shared" si="0"/>
        <v>0</v>
      </c>
      <c r="U47" s="29">
        <f t="shared" si="0"/>
        <v>0</v>
      </c>
    </row>
  </sheetData>
  <autoFilter ref="A1:U4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 firouzian</dc:creator>
  <cp:lastModifiedBy>Sayyar, Hadi (OK)</cp:lastModifiedBy>
  <dcterms:created xsi:type="dcterms:W3CDTF">2015-06-05T18:17:20Z</dcterms:created>
  <dcterms:modified xsi:type="dcterms:W3CDTF">2023-07-05T13:36:59Z</dcterms:modified>
</cp:coreProperties>
</file>